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6.xml" ContentType="application/vnd.ms-excel.controlproperties+xml"/>
  <Override PartName="/xl/ctrlProps/ctrlProp2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G:\My Drive\Python Projects\Options Illustration\"/>
    </mc:Choice>
  </mc:AlternateContent>
  <xr:revisionPtr revIDLastSave="0" documentId="13_ncr:1_{2770B4AC-9833-4CBB-83DB-2D427CD894AF}" xr6:coauthVersionLast="47" xr6:coauthVersionMax="47" xr10:uidLastSave="{00000000-0000-0000-0000-000000000000}"/>
  <bookViews>
    <workbookView xWindow="-108" yWindow="-108" windowWidth="23256" windowHeight="13896" tabRatio="697" xr2:uid="{84DA3A16-253A-4492-A0A1-1EC18EC69052}"/>
  </bookViews>
  <sheets>
    <sheet name="Dashboard" sheetId="2" r:id="rId1"/>
    <sheet name="Client_Report" sheetId="15" r:id="rId2"/>
    <sheet name="Client_Illustration" sheetId="20" r:id="rId3"/>
    <sheet name="BBG_Data" sheetId="8" r:id="rId4"/>
    <sheet name="Calc" sheetId="3" state="hidden" r:id="rId5"/>
    <sheet name="StrategyMap" sheetId="1" r:id="rId6"/>
    <sheet name="ExpirationDates" sheetId="7" state="hidden" r:id="rId7"/>
    <sheet name="AccountMap" sheetId="16" state="hidden" r:id="rId8"/>
    <sheet name="MarginMap_CBOE" sheetId="17" state="hidden" r:id="rId9"/>
    <sheet name="ScenarioAdvisoryMap" sheetId="13" state="hidden" r:id="rId10"/>
    <sheet name="HelperFields" sheetId="14" r:id="rId11"/>
    <sheet name="Development Status" sheetId="4" r:id="rId12"/>
    <sheet name="Sheet2" sheetId="19" r:id="rId13"/>
  </sheets>
  <functionGroups builtInGroupCount="19"/>
  <definedNames>
    <definedName name="_xleta.TYPE" hidden="1" xlm="1">#NAME?</definedName>
    <definedName name="Account_Eligibility">Dashboard!$U$4</definedName>
    <definedName name="Admin_Map_Rng">ScenarioAdvisoryMap!$A$2:$C$52</definedName>
    <definedName name="BBG_Div">BBG_Data!$B$15</definedName>
    <definedName name="BBG_DTE">BBG_Data!$J$3</definedName>
    <definedName name="BBG_IVOL">BBG_Data!$L$3</definedName>
    <definedName name="bbg_Opt_Anchor">BBG_Data!$F$2</definedName>
    <definedName name="BBG_RF">BBG_Data!$B$22</definedName>
    <definedName name="bbg_RiskFree_Rate">BBG_Data!$B$22</definedName>
    <definedName name="bbg_Stock_Anchor">BBG_Data!$A$2</definedName>
    <definedName name="Calc_DefMax">Calc!$Z$2</definedName>
    <definedName name="Calc_DefMin">Calc!$Z$1</definedName>
    <definedName name="Disp_DTE">Dashboard!$J$6</definedName>
    <definedName name="Fund_Leverage">BBG_Data!$B$29</definedName>
    <definedName name="Fund_Leverage_Type">BBG_Data!$B$30</definedName>
    <definedName name="Fund_Type">BBG_Data!$B$28</definedName>
    <definedName name="House_CallExcess">Dashboard!$S$40</definedName>
    <definedName name="House_NewIntradayCash">Dashboard!$S$43</definedName>
    <definedName name="House_SMA">Dashboard!$S$41</definedName>
    <definedName name="House_TodaysChange">Dashboard!$S$42</definedName>
    <definedName name="Index_BaseType">Dashboard!$M$45</definedName>
    <definedName name="Index_Data_Type">BBG_Data!$B$31</definedName>
    <definedName name="Leg1_ExerType">BBG_Data!$G$25</definedName>
    <definedName name="Leg1_Pos">Dashboard!$D$11</definedName>
    <definedName name="Leg1_Price">Dashboard!$G$11</definedName>
    <definedName name="Leg1_Strike">Dashboard!$F$11</definedName>
    <definedName name="Leg1_Type">Dashboard!$E$11</definedName>
    <definedName name="Leg2_ExerType">BBG_Data!$G$26</definedName>
    <definedName name="Leg2_Pos">Dashboard!$D$12</definedName>
    <definedName name="Leg2_Price">Dashboard!$G$12</definedName>
    <definedName name="Leg2_Strike">Dashboard!$F$12</definedName>
    <definedName name="Leg2_Type">Dashboard!$E$12</definedName>
    <definedName name="Leg3_ExerType">BBG_Data!$G$27</definedName>
    <definedName name="Leg3_Pos">Dashboard!$D$13</definedName>
    <definedName name="Leg3_Price">Dashboard!$G$13</definedName>
    <definedName name="Leg3_Strike">Dashboard!$F$13</definedName>
    <definedName name="Leg3_Type">Dashboard!$E$13</definedName>
    <definedName name="Leg4_ExerType">BBG_Data!$G$28</definedName>
    <definedName name="Leg4_Pos">Dashboard!$D$14</definedName>
    <definedName name="Leg4_Price">Dashboard!$G$14</definedName>
    <definedName name="Leg4_Strike">Dashboard!$F$14</definedName>
    <definedName name="Leg4_Type">Dashboard!$E$14</definedName>
    <definedName name="Margin_ContractMuliplier">Dashboard!$M$46</definedName>
    <definedName name="Margin_ContractMultiplier">Dashboard!$M$46</definedName>
    <definedName name="Margin_LeverageOverride">Dashboard!#REF!</definedName>
    <definedName name="Margin_Mode">Dashboard!$M$44</definedName>
    <definedName name="Margin_Table">Dashboard!$U$40</definedName>
    <definedName name="Net_Prem">Dashboard!$H$15</definedName>
    <definedName name="New_SummaryStats">Dashboard!$L$18</definedName>
    <definedName name="newDashboard">Dashboard!$U$19</definedName>
    <definedName name="newSummaryStats">Dashboard!$L$18</definedName>
    <definedName name="Opt_ListingType">Dashboard!$M$48</definedName>
    <definedName name="Opt_SettlementType">Dashboard!$M$47</definedName>
    <definedName name="Security_Type">BBG_Data!$B$27</definedName>
    <definedName name="Sel_ExpiryDate">Dashboard!$J$5</definedName>
    <definedName name="Sel_ExpiryType">Dashboard!$J$4</definedName>
    <definedName name="Sel_Group">Dashboard!$G$4</definedName>
    <definedName name="Sel_ROI_Policy">Dashboard!$M$41</definedName>
    <definedName name="Sel_ScenarioMode">Dashboard!$M$43</definedName>
    <definedName name="Sel_ScenMode">Dashboard!$U$35</definedName>
    <definedName name="Sel_Strategy">Dashboard!$G$6</definedName>
    <definedName name="Sel_Subgroup">Dashboard!$G$5</definedName>
    <definedName name="Sel_ViewMode">Dashboard!$M$40</definedName>
    <definedName name="shortName">BBG_Data!$B$26</definedName>
    <definedName name="shortTicker">BBG_Data!$B$25</definedName>
    <definedName name="Stock">Dashboard!$E$10</definedName>
    <definedName name="Stock_AvgCost">Dashboard!$G$10</definedName>
    <definedName name="Stock_CostBasis">Dashboard!$H$10</definedName>
    <definedName name="Stock_MktValue">Dashboard!$I$10</definedName>
    <definedName name="Stock_PnL">Dashboard!$J$10</definedName>
    <definedName name="Stock_Pos">Dashboard!$D$10</definedName>
    <definedName name="Strat_IVOL">HelperFields!$C$4</definedName>
    <definedName name="Strat_Pos">Dashboard!$D$10:$D$14</definedName>
    <definedName name="Strat_Price">Dashboard!$G$10:$G$14</definedName>
    <definedName name="Strat_Strike">Dashboard!$F$10:$F$14</definedName>
    <definedName name="Strat_Type">Dashboard!$E$10:$E$14</definedName>
    <definedName name="Strat_Vol">HelperFields!$C$4</definedName>
    <definedName name="Val_DownsideTgt">Dashboard!$N$43</definedName>
    <definedName name="Val_RiskFreeRate">Dashboard!$M$42</definedName>
    <definedName name="Val_ScenCustom">Dashboard!#REF!</definedName>
    <definedName name="Val_ScenStep">Dashboard!$B$47</definedName>
    <definedName name="Val_Spot">Dashboard!$D$5</definedName>
    <definedName name="Val_StratID">Dashboard!$D$6</definedName>
    <definedName name="Val_Ticker">Dashboard!$D$4</definedName>
    <definedName name="Val_UpsideTgt">Dashboard!$O$43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2" i="20" l="1"/>
  <c r="G12" i="20"/>
  <c r="G84" i="20"/>
  <c r="G81" i="20"/>
  <c r="G78" i="20"/>
  <c r="G75" i="20"/>
  <c r="G72" i="20"/>
  <c r="G69" i="20"/>
  <c r="G66" i="20"/>
  <c r="G63" i="20"/>
  <c r="G60" i="20"/>
  <c r="A84" i="20"/>
  <c r="A81" i="20"/>
  <c r="A78" i="20"/>
  <c r="A75" i="20"/>
  <c r="A72" i="20"/>
  <c r="A69" i="20"/>
  <c r="A66" i="20"/>
  <c r="A63" i="20"/>
  <c r="A60" i="20"/>
  <c r="B20" i="8" a="1"/>
  <c r="B20" i="8"/>
  <c r="B21" i="8" a="1"/>
  <c r="B21" i="8"/>
  <c r="G26" i="8" a="1"/>
  <c r="G26" i="8"/>
  <c r="H6" i="8"/>
  <c r="H4" i="8"/>
  <c r="G28" i="8" a="1"/>
  <c r="G28" i="8"/>
  <c r="B13" i="8" a="1"/>
  <c r="B13" i="8"/>
  <c r="B31" i="8" a="1"/>
  <c r="B31" i="8"/>
  <c r="B8" i="8" a="1"/>
  <c r="B8" i="8"/>
  <c r="B7" i="8" a="1"/>
  <c r="B7" i="8"/>
  <c r="B11" i="8" a="1"/>
  <c r="B11" i="8"/>
  <c r="B19" i="8" a="1"/>
  <c r="B19" i="8"/>
  <c r="B28" i="8" a="1"/>
  <c r="B28" i="8"/>
  <c r="B9" i="8" a="1"/>
  <c r="B9" i="8"/>
  <c r="H3" i="8"/>
  <c r="B5" i="8" a="1"/>
  <c r="B5" i="8"/>
  <c r="B27" i="8" a="1"/>
  <c r="B27" i="8"/>
  <c r="B6" i="8" a="1"/>
  <c r="B6" i="8"/>
  <c r="B15" i="8" a="1"/>
  <c r="B15" i="8"/>
  <c r="B4" i="8" a="1"/>
  <c r="B4" i="8"/>
  <c r="B12" i="8" a="1"/>
  <c r="B12" i="8"/>
  <c r="B14" i="8" a="1"/>
  <c r="B14" i="8"/>
  <c r="B30" i="8" a="1"/>
  <c r="B30" i="8"/>
  <c r="B10" i="8" a="1"/>
  <c r="B10" i="8"/>
  <c r="B29" i="8" a="1"/>
  <c r="B29" i="8"/>
  <c r="G27" i="8" a="1"/>
  <c r="G27" i="8"/>
  <c r="H5" i="8"/>
  <c r="B17" i="8"/>
  <c r="G25" i="8" a="1"/>
  <c r="G25" i="8"/>
  <c r="B3" i="8" a="1"/>
  <c r="B3" i="8"/>
  <c r="B22" i="8"/>
  <c r="B26" i="8" a="1"/>
  <c r="B26" i="8"/>
  <c r="B25" i="8" a="1"/>
  <c r="B25" i="8"/>
  <c r="B18" i="8"/>
  <c r="B16" i="8"/>
  <c r="H28" i="8" l="1" a="1"/>
  <c r="H28" i="8" s="1"/>
  <c r="Y6" i="8" l="1"/>
  <c r="V6" i="8"/>
  <c r="W6" i="8" s="1"/>
  <c r="R6" i="8"/>
  <c r="Q6" i="8"/>
  <c r="S5" i="8" l="1"/>
  <c r="V5" i="8"/>
  <c r="W5" i="8" s="1"/>
  <c r="X5" i="8"/>
  <c r="Y5" i="8"/>
  <c r="Z5" i="8"/>
  <c r="AA5" i="8"/>
  <c r="AB5" i="8"/>
  <c r="X6" i="8"/>
  <c r="Z6" i="8"/>
  <c r="AA6" i="8"/>
  <c r="AB6" i="8"/>
  <c r="R5" i="8"/>
  <c r="Q5" i="8"/>
  <c r="T5" i="8" l="1"/>
  <c r="U5" i="8"/>
  <c r="S6" i="8"/>
  <c r="U6" i="8"/>
  <c r="T6" i="8"/>
  <c r="AB4" i="8"/>
  <c r="AA4" i="8"/>
  <c r="Z4" i="8"/>
  <c r="Y4" i="8"/>
  <c r="X4" i="8"/>
  <c r="V4" i="8" l="1"/>
  <c r="W4" i="8" s="1"/>
  <c r="U4" i="8"/>
  <c r="T4" i="8"/>
  <c r="S4" i="8"/>
  <c r="R4" i="8"/>
  <c r="Q4" i="8"/>
  <c r="AB3" i="8"/>
  <c r="AA3" i="8"/>
  <c r="Z3" i="8"/>
  <c r="Y3" i="8" l="1"/>
  <c r="X3" i="8"/>
  <c r="V3" i="8"/>
  <c r="W3" i="8" s="1"/>
  <c r="U3" i="8"/>
  <c r="T3" i="8"/>
  <c r="S3" i="8"/>
  <c r="R3" i="8"/>
  <c r="Q3" i="8"/>
  <c r="B47" i="2" l="1"/>
  <c r="J45" i="2"/>
  <c r="I45" i="2"/>
  <c r="H45" i="2"/>
  <c r="G45" i="2"/>
  <c r="F45" i="2"/>
  <c r="E45" i="2"/>
  <c r="D45" i="2"/>
  <c r="J44" i="2"/>
  <c r="I44" i="2"/>
  <c r="H44" i="2"/>
  <c r="F44" i="2"/>
  <c r="E44" i="2"/>
  <c r="D44" i="2"/>
  <c r="J46" i="2" a="1"/>
  <c r="J47" i="2"/>
  <c r="G46" i="2" a="1"/>
  <c r="G47" i="2"/>
  <c r="E46" i="2" a="1"/>
  <c r="E47" i="2"/>
  <c r="I46" i="2" a="1"/>
  <c r="I47" i="2"/>
  <c r="F46" i="2" a="1"/>
  <c r="F47" i="2"/>
  <c r="D46" i="2" a="1"/>
  <c r="D47" i="2"/>
  <c r="H46" i="2" a="1"/>
  <c r="H47" i="2"/>
  <c r="H46" i="2" l="1"/>
  <c r="H48" i="2" s="1"/>
  <c r="D46" i="2"/>
  <c r="D48" i="2" s="1"/>
  <c r="F46" i="2"/>
  <c r="F48" i="2" s="1"/>
  <c r="I46" i="2"/>
  <c r="I48" i="2" s="1"/>
  <c r="E46" i="2"/>
  <c r="E48" i="2" s="1"/>
  <c r="G46" i="2"/>
  <c r="G48" i="2" s="1"/>
  <c r="J46" i="2"/>
  <c r="J48" i="2" s="1"/>
  <c r="S19" i="2" a="1"/>
  <c r="S19" i="2" l="1"/>
  <c r="S18" i="2" a="1"/>
  <c r="S18" i="2" l="1"/>
  <c r="I14" i="2"/>
  <c r="H14" i="2"/>
  <c r="I13" i="2"/>
  <c r="H13" i="2"/>
  <c r="I12" i="2"/>
  <c r="H12" i="2"/>
  <c r="I11" i="2"/>
  <c r="H11" i="2"/>
  <c r="I10" i="2"/>
  <c r="J10" i="2" s="1"/>
  <c r="H10" i="2"/>
  <c r="J6" i="2"/>
  <c r="A49" i="20"/>
  <c r="P49" i="20" s="1" a="1"/>
  <c r="P49" i="20" s="1"/>
  <c r="A50" i="20"/>
  <c r="I50" i="20" s="1" a="1"/>
  <c r="I50" i="20" s="1"/>
  <c r="A51" i="20"/>
  <c r="I51" i="20" s="1" a="1"/>
  <c r="I51" i="20" s="1"/>
  <c r="A52" i="20"/>
  <c r="L52" i="20" s="1" a="1"/>
  <c r="L52" i="20" s="1"/>
  <c r="A53" i="20"/>
  <c r="P53" i="20" s="1" a="1"/>
  <c r="P53" i="20" s="1"/>
  <c r="A54" i="20"/>
  <c r="AI54" i="20" s="1" a="1"/>
  <c r="AI54" i="20" s="1"/>
  <c r="A55" i="20"/>
  <c r="U55" i="20" s="1" a="1"/>
  <c r="U55" i="20" s="1"/>
  <c r="A56" i="20"/>
  <c r="U56" i="20" s="1" a="1"/>
  <c r="U56" i="20" s="1"/>
  <c r="A48" i="20"/>
  <c r="AD48" i="20" s="1" a="1"/>
  <c r="AD48" i="20" s="1"/>
  <c r="U48" i="20" l="1" a="1"/>
  <c r="U48" i="20" s="1"/>
  <c r="Z48" i="20" a="1"/>
  <c r="Z48" i="20" s="1"/>
  <c r="AI49" i="20" a="1"/>
  <c r="AI49" i="20" s="1"/>
  <c r="I56" i="20" a="1"/>
  <c r="I56" i="20" s="1"/>
  <c r="I55" i="20" a="1"/>
  <c r="I55" i="20" s="1"/>
  <c r="AI52" i="20" a="1"/>
  <c r="AI52" i="20" s="1"/>
  <c r="Z54" i="20" a="1"/>
  <c r="Z54" i="20" s="1"/>
  <c r="U49" i="20" a="1"/>
  <c r="U49" i="20" s="1"/>
  <c r="L48" i="20" a="1"/>
  <c r="L48" i="20" s="1"/>
  <c r="L56" i="20" a="1"/>
  <c r="L56" i="20" s="1"/>
  <c r="L55" i="20" a="1"/>
  <c r="L55" i="20" s="1"/>
  <c r="Z53" i="20" a="1"/>
  <c r="Z53" i="20" s="1"/>
  <c r="L50" i="20" a="1"/>
  <c r="L50" i="20" s="1"/>
  <c r="Z52" i="20" a="1"/>
  <c r="Z52" i="20" s="1"/>
  <c r="U53" i="20" a="1"/>
  <c r="U53" i="20" s="1"/>
  <c r="AI51" i="20" a="1"/>
  <c r="AI51" i="20" s="1"/>
  <c r="U52" i="20" a="1"/>
  <c r="U52" i="20" s="1"/>
  <c r="AI50" i="20" a="1"/>
  <c r="AI50" i="20" s="1"/>
  <c r="U51" i="20" a="1"/>
  <c r="U51" i="20" s="1"/>
  <c r="U50" i="20" a="1"/>
  <c r="U50" i="20" s="1"/>
  <c r="L49" i="20" a="1"/>
  <c r="L49" i="20" s="1"/>
  <c r="Z51" i="20" a="1"/>
  <c r="Z51" i="20" s="1"/>
  <c r="P48" i="20" a="1"/>
  <c r="P48" i="20" s="1"/>
  <c r="Z50" i="20" a="1"/>
  <c r="Z50" i="20" s="1"/>
  <c r="P52" i="20" a="1"/>
  <c r="P52" i="20" s="1"/>
  <c r="Z49" i="20" a="1"/>
  <c r="Z49" i="20" s="1"/>
  <c r="P51" i="20" a="1"/>
  <c r="P51" i="20" s="1"/>
  <c r="AD50" i="20" a="1"/>
  <c r="AD50" i="20" s="1"/>
  <c r="P50" i="20" a="1"/>
  <c r="P50" i="20" s="1"/>
  <c r="AD49" i="20" a="1"/>
  <c r="AD49" i="20" s="1"/>
  <c r="AI48" i="20" a="1"/>
  <c r="AI48" i="20" s="1"/>
  <c r="I15" i="2"/>
  <c r="J14" i="2"/>
  <c r="H15" i="2"/>
  <c r="J13" i="2"/>
  <c r="I53" i="20" a="1"/>
  <c r="I53" i="20" s="1"/>
  <c r="L53" i="20" a="1"/>
  <c r="L53" i="20" s="1"/>
  <c r="L51" i="20" a="1"/>
  <c r="L51" i="20" s="1"/>
  <c r="U54" i="20" a="1"/>
  <c r="U54" i="20" s="1"/>
  <c r="AI53" i="20" a="1"/>
  <c r="AI53" i="20" s="1"/>
  <c r="J11" i="2"/>
  <c r="J12" i="2"/>
  <c r="AD52" i="20" a="1"/>
  <c r="AD52" i="20" s="1"/>
  <c r="P55" i="20" a="1"/>
  <c r="P55" i="20" s="1"/>
  <c r="AD56" i="20" a="1"/>
  <c r="AD56" i="20" s="1"/>
  <c r="P56" i="20" a="1"/>
  <c r="P56" i="20" s="1"/>
  <c r="AD55" i="20" a="1"/>
  <c r="AD55" i="20" s="1"/>
  <c r="AD54" i="20" a="1"/>
  <c r="AD54" i="20" s="1"/>
  <c r="AD53" i="20" a="1"/>
  <c r="AD53" i="20" s="1"/>
  <c r="P54" i="20" a="1"/>
  <c r="P54" i="20" s="1"/>
  <c r="Z56" i="20" a="1"/>
  <c r="Z56" i="20" s="1"/>
  <c r="AD51" i="20" a="1"/>
  <c r="AD51" i="20" s="1"/>
  <c r="Z55" i="20" a="1"/>
  <c r="Z55" i="20" s="1"/>
  <c r="AI56" i="20" a="1"/>
  <c r="AI56" i="20" s="1"/>
  <c r="AI55" i="20" a="1"/>
  <c r="AI55" i="20" s="1"/>
  <c r="I54" i="20" a="1"/>
  <c r="I54" i="20" s="1"/>
  <c r="L54" i="20" a="1"/>
  <c r="L54" i="20" s="1"/>
  <c r="I52" i="20" a="1"/>
  <c r="I52" i="20" s="1"/>
  <c r="I49" i="20" a="1"/>
  <c r="I49" i="20" s="1"/>
  <c r="I48" i="20" a="1"/>
  <c r="I48" i="20" s="1"/>
  <c r="J15" i="2" l="1"/>
  <c r="U8" i="14"/>
  <c r="T8" i="14"/>
  <c r="S8" i="14"/>
  <c r="R8" i="14"/>
  <c r="Q8" i="14"/>
  <c r="P8" i="14"/>
  <c r="M8" i="14"/>
  <c r="L8" i="14"/>
  <c r="K8" i="14"/>
  <c r="J8" i="14"/>
  <c r="I8" i="14"/>
  <c r="H8" i="14"/>
  <c r="U7" i="14"/>
  <c r="T7" i="14"/>
  <c r="S7" i="14"/>
  <c r="R7" i="14"/>
  <c r="Q7" i="14"/>
  <c r="P7" i="14"/>
  <c r="M7" i="14"/>
  <c r="L7" i="14"/>
  <c r="K7" i="14"/>
  <c r="J7" i="14"/>
  <c r="I7" i="14"/>
  <c r="H7" i="14"/>
  <c r="U6" i="14"/>
  <c r="T6" i="14"/>
  <c r="S6" i="14"/>
  <c r="R6" i="14"/>
  <c r="Q6" i="14"/>
  <c r="P6" i="14"/>
  <c r="M6" i="14"/>
  <c r="L6" i="14"/>
  <c r="K6" i="14"/>
  <c r="J6" i="14"/>
  <c r="I6" i="14"/>
  <c r="H6" i="14"/>
  <c r="U5" i="14"/>
  <c r="T5" i="14"/>
  <c r="S5" i="14"/>
  <c r="R5" i="14"/>
  <c r="Q5" i="14"/>
  <c r="P5" i="14"/>
  <c r="M5" i="14"/>
  <c r="L5" i="14"/>
  <c r="K5" i="14"/>
  <c r="J5" i="14"/>
  <c r="I5" i="14"/>
  <c r="H5" i="14"/>
  <c r="C4" i="14"/>
  <c r="S22" i="2" a="1"/>
  <c r="S21" i="2" a="1"/>
  <c r="S20" i="2" a="1"/>
  <c r="S20" i="2" l="1"/>
  <c r="S21" i="2"/>
  <c r="S22" i="2"/>
  <c r="T23" i="20" l="1"/>
  <c r="P23" i="20"/>
  <c r="J23" i="20"/>
  <c r="D23" i="20"/>
  <c r="A23" i="20"/>
  <c r="J22" i="20"/>
  <c r="D22" i="20"/>
  <c r="A22" i="20"/>
  <c r="J21" i="20"/>
  <c r="D21" i="20"/>
  <c r="A21" i="20"/>
  <c r="T20" i="20"/>
  <c r="P20" i="20"/>
  <c r="J20" i="20"/>
  <c r="D20" i="20"/>
  <c r="A20" i="20"/>
  <c r="A16" i="20"/>
  <c r="U13" i="20"/>
  <c r="U12" i="20"/>
  <c r="U11" i="20"/>
  <c r="G11" i="20"/>
  <c r="AH10" i="20"/>
  <c r="U10" i="20"/>
  <c r="G10" i="20"/>
  <c r="AH9" i="20"/>
  <c r="U9" i="20"/>
  <c r="G9" i="20"/>
  <c r="A1" i="20"/>
  <c r="J24" i="15"/>
  <c r="I24" i="15"/>
  <c r="B24" i="15"/>
  <c r="A24" i="15"/>
  <c r="J23" i="15"/>
  <c r="I23" i="15"/>
  <c r="B23" i="15"/>
  <c r="A23" i="15"/>
  <c r="J22" i="15"/>
  <c r="I22" i="15"/>
  <c r="B22" i="15"/>
  <c r="A22" i="15"/>
  <c r="J21" i="15"/>
  <c r="I21" i="15"/>
  <c r="B21" i="15"/>
  <c r="A21" i="15"/>
  <c r="A17" i="15"/>
  <c r="G14" i="15"/>
  <c r="G13" i="15"/>
  <c r="C13" i="15"/>
  <c r="G12" i="15"/>
  <c r="C12" i="15"/>
  <c r="G11" i="15"/>
  <c r="C11" i="15"/>
  <c r="J10" i="15"/>
  <c r="G10" i="15"/>
  <c r="C10" i="15"/>
  <c r="K9" i="15"/>
  <c r="G9" i="15"/>
  <c r="C9" i="15"/>
  <c r="A1" i="15"/>
  <c r="K24" i="15" l="1"/>
  <c r="K23" i="15"/>
  <c r="K22" i="15"/>
  <c r="K21" i="15"/>
  <c r="J12" i="15"/>
  <c r="A20" i="15"/>
  <c r="J14" i="15" l="1"/>
  <c r="J11" i="15"/>
  <c r="AH13" i="20"/>
  <c r="I11" i="14" l="1"/>
  <c r="K25" i="15"/>
  <c r="K13" i="15"/>
  <c r="AH11" i="20"/>
  <c r="T21" i="20" l="1"/>
  <c r="T24" i="20"/>
  <c r="I12" i="14"/>
  <c r="P24" i="20" s="1"/>
  <c r="T22" i="20"/>
  <c r="P21" i="2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<sst xmlns="http://schemas.openxmlformats.org/spreadsheetml/2006/main" count="3547" uniqueCount="1389">
  <si>
    <t>ID</t>
  </si>
  <si>
    <t>Group</t>
  </si>
  <si>
    <t>Subgroup</t>
  </si>
  <si>
    <t>Strategy</t>
  </si>
  <si>
    <t>Leg1_Type</t>
  </si>
  <si>
    <t>Leg1_Side</t>
  </si>
  <si>
    <t>Leg1_Ratio</t>
  </si>
  <si>
    <t>Leg1_Strike</t>
  </si>
  <si>
    <t>Leg2_Type</t>
  </si>
  <si>
    <t>Leg2_Side</t>
  </si>
  <si>
    <t>Leg2_Ratio</t>
  </si>
  <si>
    <t>Leg2_Strike</t>
  </si>
  <si>
    <t>Bullish</t>
  </si>
  <si>
    <t>Long Call</t>
  </si>
  <si>
    <t>Call</t>
  </si>
  <si>
    <t>Long</t>
  </si>
  <si>
    <t>Strike</t>
  </si>
  <si>
    <t>Bearish</t>
  </si>
  <si>
    <t>Long Put</t>
  </si>
  <si>
    <t>Put</t>
  </si>
  <si>
    <t>Bull Call Spread</t>
  </si>
  <si>
    <t>Short</t>
  </si>
  <si>
    <t>Bear Call Spread</t>
  </si>
  <si>
    <t>Neutral</t>
  </si>
  <si>
    <t>Leg3_Type</t>
  </si>
  <si>
    <t>Leg3_Side</t>
  </si>
  <si>
    <t>Leg3_Ratio</t>
  </si>
  <si>
    <t>Leg3_Strike</t>
  </si>
  <si>
    <t>Leg4_Type</t>
  </si>
  <si>
    <t>Leg4_Side</t>
  </si>
  <si>
    <t>Leg4_Ratio</t>
  </si>
  <si>
    <t>Leg4_Strike</t>
  </si>
  <si>
    <t>Basics</t>
  </si>
  <si>
    <t>Custom Strategy</t>
  </si>
  <si>
    <t>Long Stock</t>
  </si>
  <si>
    <t>Stock</t>
  </si>
  <si>
    <t>Short Stock</t>
  </si>
  <si>
    <t>Short Call</t>
  </si>
  <si>
    <t>Short Put</t>
  </si>
  <si>
    <t>Covered Call</t>
  </si>
  <si>
    <t>Covered Put</t>
  </si>
  <si>
    <t>Protective Call</t>
  </si>
  <si>
    <t>Protective Put</t>
  </si>
  <si>
    <t>Collar</t>
  </si>
  <si>
    <t>Vertical Spreads</t>
  </si>
  <si>
    <t>Bear Put Spread</t>
  </si>
  <si>
    <t>Bull Put Spread</t>
  </si>
  <si>
    <t>Ratio Spreads</t>
  </si>
  <si>
    <t>Call Ratio Backspread</t>
  </si>
  <si>
    <t>Put Ratio Backspread</t>
  </si>
  <si>
    <t>Call Ratio Spread</t>
  </si>
  <si>
    <t>Put Ratio Spread</t>
  </si>
  <si>
    <t>Ladders</t>
  </si>
  <si>
    <t>Bull Call Ladder</t>
  </si>
  <si>
    <t>Bull Put Ladder</t>
  </si>
  <si>
    <t>Bear Call Ladder</t>
  </si>
  <si>
    <t>Bear Put Ladder</t>
  </si>
  <si>
    <t>Long Call Butterfly</t>
  </si>
  <si>
    <t>Long Put Butterfly</t>
  </si>
  <si>
    <t>Iron Butterfly</t>
  </si>
  <si>
    <t>Long Call Condor</t>
  </si>
  <si>
    <t>Long Put Condor</t>
  </si>
  <si>
    <t>Iron Condor</t>
  </si>
  <si>
    <t>Short Call Butterfly</t>
  </si>
  <si>
    <t>Short Put Butterfly</t>
  </si>
  <si>
    <t>Short Call Condor</t>
  </si>
  <si>
    <t>Short Put Condor</t>
  </si>
  <si>
    <t>Long Straddle</t>
  </si>
  <si>
    <t>Short Straddle</t>
  </si>
  <si>
    <t>Long Strangle</t>
  </si>
  <si>
    <t>Short Strangle</t>
  </si>
  <si>
    <t>Long Guts</t>
  </si>
  <si>
    <t>Short Guts</t>
  </si>
  <si>
    <t>Strip</t>
  </si>
  <si>
    <t>Strap</t>
  </si>
  <si>
    <t>Covered Short Straddle</t>
  </si>
  <si>
    <t>Covered Short Strangle</t>
  </si>
  <si>
    <t>Boxes</t>
  </si>
  <si>
    <t>Long Box Spread</t>
  </si>
  <si>
    <t>Short Box Spread</t>
  </si>
  <si>
    <t>Synthetics</t>
  </si>
  <si>
    <t>Synthetic Long Stock</t>
  </si>
  <si>
    <t>Synthetic Short Stock</t>
  </si>
  <si>
    <t>Long Combo</t>
  </si>
  <si>
    <t>Short Combo</t>
  </si>
  <si>
    <t>STRATEGY SELECTION</t>
  </si>
  <si>
    <t>Ticker</t>
  </si>
  <si>
    <t>Spot Price</t>
  </si>
  <si>
    <t>Price</t>
  </si>
  <si>
    <t>-</t>
  </si>
  <si>
    <t>Higher</t>
  </si>
  <si>
    <t>Lower</t>
  </si>
  <si>
    <t>Low</t>
  </si>
  <si>
    <t>Mid</t>
  </si>
  <si>
    <t>High</t>
  </si>
  <si>
    <t>Condors &amp; Flys</t>
  </si>
  <si>
    <t>Short Vol</t>
  </si>
  <si>
    <t>Lowest</t>
  </si>
  <si>
    <t>Low-Mid</t>
  </si>
  <si>
    <t>High-Mid</t>
  </si>
  <si>
    <t>Highest</t>
  </si>
  <si>
    <t>Long Vol</t>
  </si>
  <si>
    <t>Rev Iron Butterfly</t>
  </si>
  <si>
    <t>Rev Iron Condor</t>
  </si>
  <si>
    <t>Straddles</t>
  </si>
  <si>
    <t>ATM</t>
  </si>
  <si>
    <t>Bearish/Vol</t>
  </si>
  <si>
    <t>Bullish/Vol</t>
  </si>
  <si>
    <t>L. Call Syn. Straddle</t>
  </si>
  <si>
    <t>L. Put Syn. Straddle</t>
  </si>
  <si>
    <t>S. Call Syn. Straddle</t>
  </si>
  <si>
    <t>S. Put Syn. Straddle</t>
  </si>
  <si>
    <t>L. Call Syn. Strangle</t>
  </si>
  <si>
    <t>L. Put Syn. Strangle</t>
  </si>
  <si>
    <t>S. Call Syn. Strangle</t>
  </si>
  <si>
    <t>S. Put Syn. Strangle</t>
  </si>
  <si>
    <t>Syn. Covered Call</t>
  </si>
  <si>
    <t>Syn. Covered Put</t>
  </si>
  <si>
    <t>Arbitrage</t>
  </si>
  <si>
    <t>Conversion</t>
  </si>
  <si>
    <t>Leg</t>
  </si>
  <si>
    <t>Position</t>
  </si>
  <si>
    <t>Type</t>
  </si>
  <si>
    <t>Initial Price</t>
  </si>
  <si>
    <t>Initial CF</t>
  </si>
  <si>
    <t>Value</t>
  </si>
  <si>
    <t>P/L</t>
  </si>
  <si>
    <t>DTE</t>
  </si>
  <si>
    <t>Infinite</t>
  </si>
  <si>
    <t>Total</t>
  </si>
  <si>
    <t>Panning</t>
  </si>
  <si>
    <t>Custom</t>
  </si>
  <si>
    <t>Stock PnL</t>
  </si>
  <si>
    <t>Option PnL</t>
  </si>
  <si>
    <t>Comb PnL</t>
  </si>
  <si>
    <t>Options Payoff</t>
  </si>
  <si>
    <t>Combined Payoff</t>
  </si>
  <si>
    <t>Zoom</t>
  </si>
  <si>
    <t>% 1D</t>
  </si>
  <si>
    <t>% 5D</t>
  </si>
  <si>
    <t>% 1M</t>
  </si>
  <si>
    <t>% 3M</t>
  </si>
  <si>
    <t>PX Last</t>
  </si>
  <si>
    <t>GICS Sector</t>
  </si>
  <si>
    <t>Name</t>
  </si>
  <si>
    <t>GICS Industry</t>
  </si>
  <si>
    <t>UBS Rating</t>
  </si>
  <si>
    <t>Dividend Yield</t>
  </si>
  <si>
    <t>UBS TP</t>
  </si>
  <si>
    <t>52Wk High</t>
  </si>
  <si>
    <t>52Wk Low</t>
  </si>
  <si>
    <t>Earnings Date</t>
  </si>
  <si>
    <t>Div Ex Date</t>
  </si>
  <si>
    <t>Projected Div</t>
  </si>
  <si>
    <t>Div Status</t>
  </si>
  <si>
    <t>Vol Pctl</t>
  </si>
  <si>
    <t>Options Data</t>
  </si>
  <si>
    <t>Expiration Date</t>
  </si>
  <si>
    <t>IVOL</t>
  </si>
  <si>
    <t>Px_Bid</t>
  </si>
  <si>
    <t>Px_Mid</t>
  </si>
  <si>
    <t>Px_Ask</t>
  </si>
  <si>
    <t>Crrt Option Delta</t>
  </si>
  <si>
    <t>Div Capture</t>
  </si>
  <si>
    <t>OTM %</t>
  </si>
  <si>
    <t>Simple Return</t>
  </si>
  <si>
    <t>Annlzd Return</t>
  </si>
  <si>
    <t>% YTD TRR</t>
  </si>
  <si>
    <t>Day</t>
  </si>
  <si>
    <t>Notes</t>
  </si>
  <si>
    <t>Friday</t>
  </si>
  <si>
    <t>Weekly</t>
  </si>
  <si>
    <t>Monthly</t>
  </si>
  <si>
    <t>Thursday</t>
  </si>
  <si>
    <t>Moved due to Good Friday (2026-04-03)</t>
  </si>
  <si>
    <t>Moved due to Juneteenth (2026-06-19)</t>
  </si>
  <si>
    <t>Moved due to Independence Day Observed (2026-07-03)</t>
  </si>
  <si>
    <t>Moved due to Christmas (2026-12-25)</t>
  </si>
  <si>
    <t>Moved due to New Year's Day (2027-01-01)</t>
  </si>
  <si>
    <t>Moved due to Good Friday (2027-03-26)</t>
  </si>
  <si>
    <t>Moved due to Juneteenth Observed (2027-06-18)</t>
  </si>
  <si>
    <t>Moved due to Christmas Observed (2027-12-24)</t>
  </si>
  <si>
    <t>New Year's Day falls on Saturday (no market observation on Fri)</t>
  </si>
  <si>
    <t>Moved due to Good Friday (2028-04-14)</t>
  </si>
  <si>
    <t>Validation</t>
  </si>
  <si>
    <t>N/A</t>
  </si>
  <si>
    <t>Und Ticker</t>
  </si>
  <si>
    <t>Option Ticker</t>
  </si>
  <si>
    <t>Risk Free Rate</t>
  </si>
  <si>
    <t>Date</t>
  </si>
  <si>
    <t>TICKER</t>
  </si>
  <si>
    <t>EXPIRATION SELECTION</t>
  </si>
  <si>
    <t>CHART CONTROLS</t>
  </si>
  <si>
    <t>Options</t>
  </si>
  <si>
    <t>Combined</t>
  </si>
  <si>
    <t>Scenario</t>
  </si>
  <si>
    <t>Prob of Profit</t>
  </si>
  <si>
    <t>Prob of Assignment</t>
  </si>
  <si>
    <t>Theta</t>
  </si>
  <si>
    <t>Premium/Spot</t>
  </si>
  <si>
    <t>Return if Called</t>
  </si>
  <si>
    <t>Target 1</t>
  </si>
  <si>
    <t>Target 2</t>
  </si>
  <si>
    <t>Target 3</t>
  </si>
  <si>
    <t>weighted avg vol for strat PoP/PoA</t>
  </si>
  <si>
    <t>Option Strategy BSM Insights</t>
  </si>
  <si>
    <t>Issues to Fix / Review</t>
  </si>
  <si>
    <t>strategy analysis/charting uses PX BIDASK, but BSM engine uses PX MID</t>
  </si>
  <si>
    <t>The illustration is intended for informational and internal use. Although it can be shared with clients approved for trading Options or have received a copy of the Option Disclosure Document. For specific stock ratings relative to UBS INV research, CIO research, and/or SPGMI's Quality ranking, please refer to the research tab on ConsultWorks. Commissions or fees not included.</t>
  </si>
  <si>
    <t>Fixed</t>
  </si>
  <si>
    <t>Sector</t>
  </si>
  <si>
    <t>Last Price</t>
  </si>
  <si>
    <t>52 Week High</t>
  </si>
  <si>
    <t>52 Week Low</t>
  </si>
  <si>
    <t>Direction</t>
  </si>
  <si>
    <t>Delta</t>
  </si>
  <si>
    <t>Net Premium</t>
  </si>
  <si>
    <t>Stock Details</t>
  </si>
  <si>
    <t>1D % Change</t>
  </si>
  <si>
    <t>UBS GRP Rating</t>
  </si>
  <si>
    <t>UBS GRP Target</t>
  </si>
  <si>
    <t>UBS CIO Rating</t>
  </si>
  <si>
    <t>Option Strategy Details</t>
  </si>
  <si>
    <t>Short Ticker</t>
  </si>
  <si>
    <t>Short Name</t>
  </si>
  <si>
    <t>Premium</t>
  </si>
  <si>
    <t>Move %</t>
  </si>
  <si>
    <t>PnL Scenario Mode</t>
  </si>
  <si>
    <t>Current Market Price</t>
  </si>
  <si>
    <t>Stock to Zero</t>
  </si>
  <si>
    <t>Stock to Infinity</t>
  </si>
  <si>
    <t>∞</t>
  </si>
  <si>
    <t>Metric</t>
  </si>
  <si>
    <t>Max Profit</t>
  </si>
  <si>
    <t>Max Loss</t>
  </si>
  <si>
    <t>Reward / Risk</t>
  </si>
  <si>
    <t>Notional Exp.</t>
  </si>
  <si>
    <t>Cost / Credit</t>
  </si>
  <si>
    <t>Strike Level 1</t>
  </si>
  <si>
    <t>---</t>
  </si>
  <si>
    <t>ABOVE_UPPER_BOUND</t>
  </si>
  <si>
    <t>BELOW_LOWER_BOUND</t>
  </si>
  <si>
    <t>BETWEEN_BOUNDS</t>
  </si>
  <si>
    <t>PEAK_PROFIT_ZONE</t>
  </si>
  <si>
    <t>COLLAR</t>
  </si>
  <si>
    <t>COVERED_CALL</t>
  </si>
  <si>
    <t>PROTECTIVE_PUT</t>
  </si>
  <si>
    <t>OUTSIDE_RANGE</t>
  </si>
  <si>
    <t>UNLIMITED_RISK</t>
  </si>
  <si>
    <t>UNLIMITED_UPSIDE</t>
  </si>
  <si>
    <t>LONG_CALL</t>
  </si>
  <si>
    <t>Advisory Analysis</t>
  </si>
  <si>
    <t>Unlimited</t>
  </si>
  <si>
    <t>Net PnL</t>
  </si>
  <si>
    <t>Net ROI</t>
  </si>
  <si>
    <t>Combined Breakeven 1</t>
  </si>
  <si>
    <t>CUSTOM</t>
  </si>
  <si>
    <t>STOCK_LONG</t>
  </si>
  <si>
    <t>STOCK_SHORT</t>
  </si>
  <si>
    <t>SHORT_CALL</t>
  </si>
  <si>
    <t>LONG_PUT</t>
  </si>
  <si>
    <t>SHORT_PUT</t>
  </si>
  <si>
    <t>COVERED_PUT</t>
  </si>
  <si>
    <t>PROTECTIVE_CALL</t>
  </si>
  <si>
    <t>BULL_CALL_DEBIT</t>
  </si>
  <si>
    <t>BULL_PUT_CREDIT</t>
  </si>
  <si>
    <t>BEAR_PUT_DEBIT</t>
  </si>
  <si>
    <t>BEAR_CALL_CREDIT</t>
  </si>
  <si>
    <t>CALL_RATIO_BACKSPREAD</t>
  </si>
  <si>
    <t>PUT_RATIO_BACKSPREAD</t>
  </si>
  <si>
    <t>CALL_RATIO_SPREAD</t>
  </si>
  <si>
    <t>PUT_RATIO_SPREAD</t>
  </si>
  <si>
    <t>BULL_CALL_LADDER</t>
  </si>
  <si>
    <t>BEAR_PUT_LADDER</t>
  </si>
  <si>
    <t>BEAR_CALL_LADDER</t>
  </si>
  <si>
    <t>BULL_PUT_LADDER</t>
  </si>
  <si>
    <t>CALL_BUTTERFLY_LONG</t>
  </si>
  <si>
    <t>PUT_BUTTERFLY_LONG</t>
  </si>
  <si>
    <t>IRON_BUTTERFLY_SHORT</t>
  </si>
  <si>
    <t>CALL_CONDOR_LONG</t>
  </si>
  <si>
    <t>PUT_CONDOR_LONG</t>
  </si>
  <si>
    <t>IRON_CONDOR_SHORT</t>
  </si>
  <si>
    <t>CALL_BUTTERFLY_SHORT</t>
  </si>
  <si>
    <t>PUT_BUTTERFLY_SHORT</t>
  </si>
  <si>
    <t>IRON_BUTTERFLY_LONG</t>
  </si>
  <si>
    <t>CALL_CONDOR_SHORT</t>
  </si>
  <si>
    <t>PUT_CONDOR_SHORT</t>
  </si>
  <si>
    <t>IRON_CONDOR_LONG</t>
  </si>
  <si>
    <t>STRADDLE_LONG</t>
  </si>
  <si>
    <t>STRADDLE_SHORT</t>
  </si>
  <si>
    <t>STRANGLE_LONG</t>
  </si>
  <si>
    <t>STRANGLE_SHORT</t>
  </si>
  <si>
    <t>GUTS_LONG</t>
  </si>
  <si>
    <t>GUTS_SHORT</t>
  </si>
  <si>
    <t>STRIP</t>
  </si>
  <si>
    <t>STRAP</t>
  </si>
  <si>
    <t>COVERED_STRADDLE_SHORT</t>
  </si>
  <si>
    <t>COVERED_STRANGLE_SHORT</t>
  </si>
  <si>
    <t>BOX_LONG</t>
  </si>
  <si>
    <t>BOX_SHORT</t>
  </si>
  <si>
    <t>SYNTH_LONG_STOCK</t>
  </si>
  <si>
    <t>SYNTH_SHORT_STOCK</t>
  </si>
  <si>
    <t>COMBO_LONG</t>
  </si>
  <si>
    <t>COMBO_SHORT</t>
  </si>
  <si>
    <t>SYN_CALL_STRADDLE_LONG</t>
  </si>
  <si>
    <t>SYN_PUT_STRADDLE_LONG</t>
  </si>
  <si>
    <t>SYN_CALL_STRADDLE_SHORT</t>
  </si>
  <si>
    <t>SYN_PUT_STRADDLE_SHORT</t>
  </si>
  <si>
    <t>SYN_CALL_STRANGLE_LONG</t>
  </si>
  <si>
    <t>SYN_PUT_STRANGLE_LONG</t>
  </si>
  <si>
    <t>SYN_CALL_STRANGLE_SHORT</t>
  </si>
  <si>
    <t>SYN_PUT_STRANGLE_SHORT</t>
  </si>
  <si>
    <t>SYN_COVERED_CALL</t>
  </si>
  <si>
    <t>SYN_COVERED_PUT</t>
  </si>
  <si>
    <t>CONVERSION</t>
  </si>
  <si>
    <t>Archetype</t>
  </si>
  <si>
    <t>ScenarioKey</t>
  </si>
  <si>
    <t>Stock Cost Basis</t>
  </si>
  <si>
    <t>Option Strategy ROI</t>
  </si>
  <si>
    <t>Template</t>
  </si>
  <si>
    <t>**Scenario overview:** This is a custom structure, so the key takeaway is how P&amp;L changes as price moves. Options: {OptionPnL} ({OptionROI}). Net: {NetPnL} ({NetROI}).</t>
  </si>
  <si>
    <t>**High‑risk zone:** This structure can keep losing money if the stock keeps moving further against you. Options: {OptionPnL} ({OptionROI}). Net: {NetPnL} ({NetROI}).</t>
  </si>
  <si>
    <t>**Down move:** Your shares lose value as the stock falls. Options: {OptionPnL} ({OptionROI}). Net: {NetPnL} ({NetROI}).</t>
  </si>
  <si>
    <t>**Near current level:** Your result is driven mainly by normal day‑to‑day stock movement. Options: {OptionPnL} ({OptionROI}). Net: {NetPnL} ({NetROI}).</t>
  </si>
  <si>
    <t>**Up move:** Your shares gain value as the stock rises. Options: {OptionPnL} ({OptionROI}). Net: {NetPnL} ({NetROI}).</t>
  </si>
  <si>
    <t>**Down move:** A stock decline benefits a short‑stock position (profits grow as price falls). Options: {OptionPnL} ({OptionROI}). Net: {NetPnL} ({NetROI}).</t>
  </si>
  <si>
    <t>**Near current level:** Your result is driven mainly by normal day‑to‑day stock movement (in the opposite direction). Options: {OptionPnL} ({OptionROI}). Net: {NetPnL} ({NetROI}).</t>
  </si>
  <si>
    <t>**Up move (risk):** A stock rally works against a short‑stock position and losses can grow as price rises. Options: {OptionPnL} ({OptionROI}). Net: {NetPnL} ({NetROI}).</t>
  </si>
  <si>
    <t>**Premium‑at‑risk:** The stock is below your call strike ({PrimaryStrikeFmt}), so the option’s value is limited unless the stock rebounds. Options: {OptionPnL} ({OptionROI}). Net: {NetPnL} ({NetROI}).</t>
  </si>
  <si>
    <t>**Decision zone:** Near your call strike ({PrimaryStrikeFmt}), small moves can change the option’s value quickly. Options: {OptionPnL} ({OptionROI}). Net: {NetPnL} ({NetROI}).</t>
  </si>
  <si>
    <t>**Participation zone:** Above your call strike ({PrimaryStrikeFmt}), gains tend to increase as the stock rises. Options: {OptionPnL} ({OptionROI}). Net: {NetPnL} ({NetROI}).</t>
  </si>
  <si>
    <t>**Income zone:** Below your call strike ({PrimaryStrikeFmt}), the call is more likely to expire with limited value. Options: {OptionPnL} ({OptionROI}). Net: {NetPnL} ({NetROI}).</t>
  </si>
  <si>
    <t>**Watch zone:** Near/above your call strike ({PrimaryStrikeFmt}), upside gains can be partially offset and risk increases. Options: {OptionPnL} ({OptionROI}). Net: {NetPnL} ({NetROI}).</t>
  </si>
  <si>
    <t>**High‑risk zone:** Above the call strike ({PrimaryStrikeFmt}), losses can continue to grow if the stock keeps rising. Options: {OptionPnL} ({OptionROI}). Net: {NetPnL} ({NetROI}).</t>
  </si>
  <si>
    <t>**Premium‑at‑risk:** The stock is above your put strike ({PrimaryStrikeFmt}), so the option’s value is limited unless the stock falls. Options: {OptionPnL} ({OptionROI}). Net: {NetPnL} ({NetROI}).</t>
  </si>
  <si>
    <t>**Decision zone:** Near your put strike ({PrimaryStrikeFmt}), downside moves can increase protection quickly. Options: {OptionPnL} ({OptionROI}). Net: {NetPnL} ({NetROI}).</t>
  </si>
  <si>
    <t>**Protection working:** Below your put strike ({PrimaryStrikeFmt}), the put is designed to gain value as the stock falls. Options: {OptionPnL} ({OptionROI}). Net: {NetPnL} ({NetROI}).</t>
  </si>
  <si>
    <t>**Income zone:** Above your put strike ({PrimaryStrikeFmt}), the put is more likely to expire with limited value. Options: {OptionPnL} ({OptionROI}). Net: {NetPnL} ({NetROI}).</t>
  </si>
  <si>
    <t>**Watch zone:** Near your put strike ({PrimaryStrikeFmt}), you are closer to being obligated to buy shares at that level. Options: {OptionPnL} ({OptionROI}). Net: {NetPnL} ({NetROI}).</t>
  </si>
  <si>
    <t>**Assignment zone:** Below the put strike ({PrimaryStrikeFmt}), the position behaves more like buying shares at that strike (downside continues below it). Options: {OptionPnL} ({OptionROI}). Net: {NetPnL} ({NetROI}).</t>
  </si>
  <si>
    <t>**Down move:** The option premium can soften losses, but a large sell‑off still reduces the value of the position. Options: {OptionPnL} ({OptionROI}). Net: {NetPnL} ({NetROI}).</t>
  </si>
  <si>
    <t>**Income zone:** If the stock stays below your call strike ({CapStrikeFmt}), premium income can help support returns. Options: {OptionPnL} ({OptionROI}). Net: {NetPnL} ({NetROI}).</t>
  </si>
  <si>
    <t>**Upside limited:** Above your call strike ({CapStrikeFmt}), further upside is typically capped because shares may be called away. Options: {OptionPnL} ({OptionROI}). Net: {NetPnL} ({NetROI}).</t>
  </si>
  <si>
    <t>**Down move (favorable):** A decline can help this structure, but outcomes depend on where the stock settles versus the put strike ({PrimaryStrikeFmt}). Options: {OptionPnL} ({OptionROI}). Net: {NetPnL} ({NetROI}).</t>
  </si>
  <si>
    <t>**Income zone:** Near the put strike ({PrimaryStrikeFmt}), premium helps, but be aware of potential share delivery obligations. Options: {OptionPnL} ({OptionROI}). Net: {NetPnL} ({NetROI}).</t>
  </si>
  <si>
    <t>**Up move (risk):** If the stock rises above the put strike ({PrimaryStrikeFmt}), the stock leg can drive losses; premium may only partially offset it. Options: {OptionPnL} ({OptionROI}). Net: {NetPnL} ({NetROI}).</t>
  </si>
  <si>
    <t>**Down move (favorable):** A decline benefits the short‑stock leg; the call hedge may not be needed in this zone. Options: {OptionPnL} ({OptionROI}). Net: {NetPnL} ({NetROI}).</t>
  </si>
  <si>
    <t>**Hedge carrying:** Near the call strike ({PrimaryStrikeFmt}), the hedge can reduce upside risk, but it also has a carrying cost. Options: {OptionPnL} ({OptionROI}). Net: {NetPnL} ({NetROI}).</t>
  </si>
  <si>
    <t>**Protection working:** Above the call strike ({PrimaryStrikeFmt}), the long call is designed to limit further losses from a rising stock. Options: {OptionPnL} ({OptionROI}). Net: {NetPnL} ({NetROI}).</t>
  </si>
  <si>
    <t>**Insurance cost:** Above the put strike ({FloorStrikeFmt}), protection may not be needed and the put’s cost can reduce returns. Options: {OptionPnL} ({OptionROI}). Net: {NetPnL} ({NetROI}).</t>
  </si>
  <si>
    <t>**Buffered exposure:** Between current levels and the protection strike ({FloorStrikeFmt}), you still participate in moves, with downside protection further below. Options: {OptionPnL} ({OptionROI}). Net: {NetPnL} ({NetROI}).</t>
  </si>
  <si>
    <t>**Protection working:** Below the put strike ({FloorStrikeFmt}), the hedge is designed to limit further downside on the combined position. Options: {OptionPnL} ({OptionROI}). Net: {NetPnL} ({NetROI}).</t>
  </si>
  <si>
    <t>**Stability zone:** Between the protection level ({FloorStrikeFmt}) and the call strike ({CapStrikeFmt}), the goal is steadier outcomes versus holding stock alone. Options: {OptionPnL} ({OptionROI}). Net: {NetPnL} ({NetROI}).</t>
  </si>
  <si>
    <t>**Protection working:** Below the put strike ({FloorStrikeFmt}), the hedge is designed to limit further downside. Options: {OptionPnL} ({OptionROI}). Net: {NetPnL} ({NetROI}).</t>
  </si>
  <si>
    <t>**Limited downside:** Below the lower strike ({LowerStrikeFmt}), this spread is typically near its worst‑case value (loss limited). Options: {OptionPnL} ({OptionROI}). Net: {NetPnL} ({NetROI}).</t>
  </si>
  <si>
    <t>**Upside building:** Between {LowerStrikeFmt} and {UpperStrikeFmt}, gains typically increase as the stock rises through the spread. Options: {OptionPnL} ({OptionROI}). Net: {NetPnL} ({NetROI}).</t>
  </si>
  <si>
    <t>**Near max value:** Above the upper strike ({UpperStrikeFmt}), the spread is typically near its best‑case value (additional upside adds little). Options: {OptionPnL} ({OptionROI}). Net: {NetPnL} ({NetROI}).</t>
  </si>
  <si>
    <t>**Income zone:** Above the short put strike area, the goal is to retain premium if the stock holds up. Options: {OptionPnL} ({OptionROI}). Net: {NetPnL} ({NetROI}).</t>
  </si>
  <si>
    <t>**Watch zone:** Between {LowerStrikeFmt} and {UpperStrikeFmt}, downside pressure can reduce the position’s value as the stock falls. Options: {OptionPnL} ({OptionROI}). Net: {NetPnL} ({NetROI}).</t>
  </si>
  <si>
    <t>**Defined downside:** Below the lower strike ({LowerStrikeFmt}), losses are typically near their maximum and are limited by the long put. Options: {OptionPnL} ({OptionROI}). Net: {NetPnL} ({NetROI}).</t>
  </si>
  <si>
    <t>**Premium‑at‑risk:** Above the upper strike ({UpperStrikeFmt}), this bearish spread can lose value as the stock rises. Options: {OptionPnL} ({OptionROI}). Net: {NetPnL} ({NetROI}).</t>
  </si>
  <si>
    <t>**Downside building:** Between {LowerStrikeFmt} and {UpperStrikeFmt}, gains typically increase as the stock falls through the spread. Options: {OptionPnL} ({OptionROI}). Net: {NetPnL} ({NetROI}).</t>
  </si>
  <si>
    <t>**Near max value:** Below the lower strike ({LowerStrikeFmt}), the spread is typically near its best‑case value (additional downside adds little). Options: {OptionPnL} ({OptionROI}). Net: {NetPnL} ({NetROI}).</t>
  </si>
  <si>
    <t>**Income zone:** Below the short call strike area, the goal is to retain premium if the stock stays contained. Options: {OptionPnL} ({OptionROI}). Net: {NetPnL} ({NetROI}).</t>
  </si>
  <si>
    <t>**Watch zone:** Between {LowerStrikeFmt} and {UpperStrikeFmt}, upside pressure can reduce the position’s value as the stock rises. Options: {OptionPnL} ({OptionROI}). Net: {NetPnL} ({NetROI}).</t>
  </si>
  <si>
    <t>**Defined upside risk:** Above the upper strike ({UpperStrikeFmt}), losses are typically near their maximum and are limited by the long call. Options: {OptionPnL} ({OptionROI}). Net: {NetPnL} ({NetROI}).</t>
  </si>
  <si>
    <t>**Carry zone:** Below the lower strike ({LowerStrikeFmt}), this position may have limited benefit unless a larger move develops. Options: {OptionPnL} ({OptionROI}). Net: {NetPnL} ({NetROI}).</t>
  </si>
  <si>
    <t>**Transition zone:** Between {LowerStrikeFmt} and {UpperStrikeFmt}, the position is moving toward its “big‑move” payoff profile. Options: {OptionPnL} ({OptionROI}). Net: {NetPnL} ({NetROI}).</t>
  </si>
  <si>
    <t>**Breakout opportunity:** Above the upper strike ({UpperStrikeFmt}), a large rally can accelerate gains because you own extra upside exposure. Options: {OptionPnL} ({OptionROI}). Net: {NetPnL} ({NetROI}).</t>
  </si>
  <si>
    <t>**Carry zone:** Above the upper strike ({UpperStrikeFmt}), this position may have limited benefit unless a larger move develops. Options: {OptionPnL} ({OptionROI}). Net: {NetPnL} ({NetROI}).</t>
  </si>
  <si>
    <t>**Breakout opportunity:** Below the lower strike ({LowerStrikeFmt}), a large sell‑off can accelerate gains because you own extra downside exposure. Options: {OptionPnL} ({OptionROI}). Net: {NetPnL} ({NetROI}).</t>
  </si>
  <si>
    <t>**Contained zone:** Below the lower strike ({LowerStrikeFmt}), outcomes are typically more controlled. Options: {OptionPnL} ({OptionROI}). Net: {NetPnL} ({NetROI}).</t>
  </si>
  <si>
    <t>**Managed zone:** Between {LowerStrikeFmt} and {UpperStrikeFmt}, the position is intended to behave in a more measured way. Options: {OptionPnL} ({OptionROI}). Net: {NetPnL} ({NetROI}).</t>
  </si>
  <si>
    <t>**High‑risk zone:** Above the upper strike ({UpperStrikeFmt}), losses can accelerate because the position remains net short upside exposure. Options: {OptionPnL} ({OptionROI}). Net: {NetPnL} ({NetROI}).</t>
  </si>
  <si>
    <t>**Contained zone:** Above the upper strike ({UpperStrikeFmt}), outcomes are typically more controlled. Options: {OptionPnL} ({OptionROI}). Net: {NetPnL} ({NetROI}).</t>
  </si>
  <si>
    <t>**High‑risk zone:** Below the lower strike ({LowerStrikeFmt}), losses can accelerate because the position remains net short downside exposure. Options: {OptionPnL} ({OptionROI}). Net: {NetPnL} ({NetROI}).</t>
  </si>
  <si>
    <t>**Limited benefit zone:** Below the lower strike ({LowerStrikeFmt}), gains are typically limited and the structure may lag expectations. Options: {OptionPnL} ({OptionROI}). Net: {NetPnL} ({NetROI}).</t>
  </si>
  <si>
    <t>**Step‑up zone:** Between {LowerStrikeFmt} and {UpperStrikeFmt}, the payoff can improve in stages as the stock rises. Options: {OptionPnL} ({OptionROI}). Net: {NetPnL} ({NetROI}).</t>
  </si>
  <si>
    <t>**High‑risk zone:** Above the upper strike ({UpperStrikeFmt}), losses can grow if the structure leaves you net short calls. Options: {OptionPnL} ({OptionROI}). Net: {NetPnL} ({NetROI}).</t>
  </si>
  <si>
    <t>**Limited benefit zone:** Above the upper strike ({UpperStrikeFmt}), gains are typically limited and the structure may lag expectations. Options: {OptionPnL} ({OptionROI}). Net: {NetPnL} ({NetROI}).</t>
  </si>
  <si>
    <t>**Step‑down zone:** Between {LowerStrikeFmt} and {UpperStrikeFmt}, the payoff can improve in stages as the stock falls. Options: {OptionPnL} ({OptionROI}). Net: {NetPnL} ({NetROI}).</t>
  </si>
  <si>
    <t>**High‑risk zone:** Below the lower strike ({LowerStrikeFmt}), losses can grow if the structure leaves you net short puts. Options: {OptionPnL} ({OptionROI}). Net: {NetPnL} ({NetROI}).</t>
  </si>
  <si>
    <t>**Favorable zone:** Below the lower strike ({LowerStrikeFmt}), this structure typically benefits from weakness in the stock. Options: {OptionPnL} ({OptionROI}). Net: {NetPnL} ({NetROI}).</t>
  </si>
  <si>
    <t>**Transition zone:** Between {LowerStrikeFmt} and {UpperStrikeFmt}, the payoff changes as the stock moves through the ladder strikes. Options: {OptionPnL} ({OptionROI}). Net: {NetPnL} ({NetROI}).</t>
  </si>
  <si>
    <t>**Adverse zone:** Above the upper strike ({UpperStrikeFmt}), upside can work against the structure. Options: {OptionPnL} ({OptionROI}). Net: {NetPnL} ({NetROI}).</t>
  </si>
  <si>
    <t>**Favorable zone:** Above the upper strike ({UpperStrikeFmt}), this structure typically benefits from strength in the stock. Options: {OptionPnL} ({OptionROI}). Net: {NetPnL} ({NetROI}).</t>
  </si>
  <si>
    <t>**Adverse zone:** Below the lower strike ({LowerStrikeFmt}), downside can work against the structure. Options: {OptionPnL} ({OptionROI}). Net: {NetPnL} ({NetROI}).</t>
  </si>
  <si>
    <t>**Best‑case zone:** Near the center strike ({CenterStrikeFmt}), this position is designed to be worth the most. Options: {OptionPnL} ({OptionROI}). Net: {NetPnL} ({NetROI}).</t>
  </si>
  <si>
    <t>**Target range:** Inside the outer strikes ({LowerStrikeFmt}–{UpperStrikeFmt}), value depends heavily on where the stock finishes. Options: {OptionPnL} ({OptionROI}). Net: {NetPnL} ({NetROI}).</t>
  </si>
  <si>
    <t>**Outside target range:** Outside the outer strikes ({LowerStrikeFmt}–{UpperStrikeFmt}), the position’s value is typically limited. Options: {OptionPnL} ({OptionROI}). Net: {NetPnL} ({NetROI}).</t>
  </si>
  <si>
    <t>**Best‑case zone:** Near the center strike ({CenterStrikeFmt}), this position is designed to keep the most premium. Options: {OptionPnL} ({OptionROI}). Net: {NetPnL} ({NetROI}).</t>
  </si>
  <si>
    <t>**Comfort zone:** Inside the outer strikes ({LowerStrikeFmt}–{UpperStrikeFmt}), outcomes are typically more stable than outside the range. Options: {OptionPnL} ({OptionROI}). Net: {NetPnL} ({NetROI}).</t>
  </si>
  <si>
    <t>**Stress zone:** Outside the outer strikes ({LowerStrikeFmt}–{UpperStrikeFmt}), losses can grow (though the wings help limit the maximum option loss). Options: {OptionPnL} ({OptionROI}). Net: {NetPnL} ({NetROI}).</t>
  </si>
  <si>
    <t>**Best‑case zone:** Near the center of the structure ({CenterStrikeFmt}), this position is designed to perform best. Options: {OptionPnL} ({OptionROI}). Net: {NetPnL} ({NetROI}).</t>
  </si>
  <si>
    <t>**Target range:** Inside the outer strikes ({LowerStrikeFmt}–{UpperStrikeFmt}), outcomes are typically strongest if the stock stays in range. Options: {OptionPnL} ({OptionROI}). Net: {NetPnL} ({NetROI}).</t>
  </si>
  <si>
    <t>**Outside target range:** Outside the outer strikes ({LowerStrikeFmt}–{UpperStrikeFmt}), the position’s value is typically weaker. Options: {OptionPnL} ({OptionROI}). Net: {NetPnL} ({NetROI}).</t>
  </si>
  <si>
    <t>**Downside stress (options):** Below the lower short strike ({LowerStrikeFmt}), the option overlay can lose value, but the long put helps limit the maximum option loss. Options: {OptionPnL} ({OptionROI}). Net: {NetPnL} ({NetROI}).</t>
  </si>
  <si>
    <t>**Income zone:** Between {LowerStrikeFmt} and {UpperStrikeFmt}, the goal is to retain premium if the stock stays contained. Options: {OptionPnL} ({OptionROI}). Net: {NetPnL} ({NetROI}).</t>
  </si>
  <si>
    <t>**Upside stress (options):** Above the upper short strike ({UpperStrikeFmt}), the option overlay can lose value, but the long call helps limit the maximum option loss. Options: {OptionPnL} ({OptionROI}). Net: {NetPnL} ({NetROI}).</t>
  </si>
  <si>
    <t>**Highest risk point:** Near the center strike ({CenterStrikeFmt}), this short structure is typically closest to its worst‑case outcome. Options: {OptionPnL} ({OptionROI}). Net: {NetPnL} ({NetROI}).</t>
  </si>
  <si>
    <t>**Improving zone:** Moving away from the center within ({LowerStrikeFmt}–{UpperStrikeFmt}) can improve outcomes versus the peak‑risk point. Options: {OptionPnL} ({OptionROI}). Net: {NetPnL} ({NetROI}).</t>
  </si>
  <si>
    <t>**Recovery zone:** Outside the outer strikes ({LowerStrikeFmt}–{UpperStrikeFmt}), the position can recover as the stock moves away from the center. Options: {OptionPnL} ({OptionROI}). Net: {NetPnL} ({NetROI}).</t>
  </si>
  <si>
    <t>**Highest risk point:** Near the center strike ({CenterStrikeFmt}), this long structure is typically closest to its worst‑case outcome (premium paid). Options: {OptionPnL} ({OptionROI}). Net: {NetPnL} ({NetROI}).</t>
  </si>
  <si>
    <t>**Premium‑decay zone:** If the stock stays near the center, the position can lose value over time. Options: {OptionPnL} ({OptionROI}). Net: {NetPnL} ({NetROI}).</t>
  </si>
  <si>
    <t>**Big‑move zone:** A larger move outside ({LowerStrikeFmt}–{UpperStrikeFmt}) is typically what this structure needs to improve. Options: {OptionPnL} ({OptionROI}). Net: {NetPnL} ({NetROI}).</t>
  </si>
  <si>
    <t>**Best‑case zone:** Near the middle of the range ({CenterStrikeFmt}), this short structure is designed to retain the most premium. Options: {OptionPnL} ({OptionROI}). Net: {NetPnL} ({NetROI}).</t>
  </si>
  <si>
    <t>**Income zone:** Inside ({LowerStrikeFmt}–{UpperStrikeFmt}), the goal is to keep premium if the stock stays contained. Options: {OptionPnL} ({OptionROI}). Net: {NetPnL} ({NetROI}).</t>
  </si>
  <si>
    <t>**Stress zone:** Outside ({LowerStrikeFmt}–{UpperStrikeFmt}), losses can grow (typically limited by the outer long options). Options: {OptionPnL} ({OptionROI}). Net: {NetPnL} ({NetROI}).</t>
  </si>
  <si>
    <t>**Premium‑at‑risk:** Near the center of the range ({CenterStrikeFmt}), this long structure is typically closest to its worst‑case outcome (premium paid). Options: {OptionPnL} ({OptionROI}). Net: {NetPnL} ({NetROI}).</t>
  </si>
  <si>
    <t>**Premium‑decay zone:** If the stock stays inside the central range, the position can lose value over time. Options: {OptionPnL} ({OptionROI}). Net: {NetPnL} ({NetROI}).</t>
  </si>
  <si>
    <t>**Needs movement:** If the stock stays near the strike ({CenterStrikeFmt}), the options can lose value over time. Options: {OptionPnL} ({OptionROI}). Net: {NetPnL} ({NetROI}).</t>
  </si>
  <si>
    <t>**Big‑move zone:** A larger move away from the strike ({CenterStrikeFmt}) is typically what this position needs to improve. Options: {OptionPnL} ({OptionROI}). Net: {NetPnL} ({NetROI}).</t>
  </si>
  <si>
    <t>**Income zone:** If the stock stays near the strike ({CenterStrikeFmt}), this position is designed to keep more of the premium. Options: {OptionPnL} ({OptionROI}). Net: {NetPnL} ({NetROI}).</t>
  </si>
  <si>
    <t>**Stress zone:** A large move away from the strike ({CenterStrikeFmt}) can create losses that grow as the move extends. Options: {OptionPnL} ({OptionROI}). Net: {NetPnL} ({NetROI}).</t>
  </si>
  <si>
    <t>**High‑risk zone:** With a continued large move, losses can keep growing (risk is not naturally capped). Options: {OptionPnL} ({OptionROI}). Net: {NetPnL} ({NetROI}).</t>
  </si>
  <si>
    <t>**Needs movement:** If the stock stays between {LowerStrikeFmt} and {UpperStrikeFmt}, the options can lose value over time. Options: {OptionPnL} ({OptionROI}). Net: {NetPnL} ({NetROI}).</t>
  </si>
  <si>
    <t>**Big‑move zone:** A move outside ({LowerStrikeFmt}–{UpperStrikeFmt}) is typically what this position needs to improve. Options: {OptionPnL} ({OptionROI}). Net: {NetPnL} ({NetROI}).</t>
  </si>
  <si>
    <t>**Income zone:** If the stock stays between {LowerStrikeFmt} and {UpperStrikeFmt}, this position is designed to keep more of the premium. Options: {OptionPnL} ({OptionROI}). Net: {NetPnL} ({NetROI}).</t>
  </si>
  <si>
    <t>**Stress zone:** A move outside ({LowerStrikeFmt}–{UpperStrikeFmt}) can create losses that grow as the move extends. Options: {OptionPnL} ({OptionROI}). Net: {NetPnL} ({NetROI}).</t>
  </si>
  <si>
    <t>**Needs movement:** If the stock stays inside the guts range, the options can lose value over time. Options: {OptionPnL} ({OptionROI}). Net: {NetPnL} ({NetROI}).</t>
  </si>
  <si>
    <t>**Big‑move zone:** A move outside the guts range is typically what this position needs to improve. Options: {OptionPnL} ({OptionROI}). Net: {NetPnL} ({NetROI}).</t>
  </si>
  <si>
    <t>**Income zone:** If the stock stays inside the guts range, this position is designed to keep more premium. Options: {OptionPnL} ({OptionROI}). Net: {NetPnL} ({NetROI}).</t>
  </si>
  <si>
    <t>**Stress zone:** A move outside the guts range can create losses that grow as the move extends. Options: {OptionPnL} ({OptionROI}). Net: {NetPnL} ({NetROI}).</t>
  </si>
  <si>
    <t>**Needs movement (downside‑tilted):** If the stock stays near the strike, the options can lose value over time; downside moves matter more here. Options: {OptionPnL} ({OptionROI}). Net: {NetPnL} ({NetROI}).</t>
  </si>
  <si>
    <t>**Big‑move zone:** A larger move (especially down) can improve results for this structure. Options: {OptionPnL} ({OptionROI}). Net: {NetPnL} ({NetROI}).</t>
  </si>
  <si>
    <t>**Needs movement (upside‑tilted):** If the stock stays near the strike, the options can lose value over time; upside moves matter more here. Options: {OptionPnL} ({OptionROI}). Net: {NetPnL} ({NetROI}).</t>
  </si>
  <si>
    <t>**Big‑move zone:** A larger move (especially up) can improve results for this structure. Options: {OptionPnL} ({OptionROI}). Net: {NetPnL} ({NetROI}).</t>
  </si>
  <si>
    <t>**Income overlay:** Premium income can help if the stock stays near the strike area, but large moves change the profile quickly. Options: {OptionPnL} ({OptionROI}). Net: {NetPnL} ({NetROI}).</t>
  </si>
  <si>
    <t>**Stress zone:** A large move can overwhelm the premium collected and increase risk. Options: {OptionPnL} ({OptionROI}). Net: {NetPnL} ({NetROI}).</t>
  </si>
  <si>
    <t>**High‑risk zone:** With a continued strong move, losses can keep growing despite the overlay. Options: {OptionPnL} ({OptionROI}). Net: {NetPnL} ({NetROI}).</t>
  </si>
  <si>
    <t>**Income overlay:** Premium income can help if the stock stays within {LowerStrikeFmt}–{UpperStrikeFmt}, but a breakout changes the profile quickly. Options: {OptionPnL} ({OptionROI}). Net: {NetPnL} ({NetROI}).</t>
  </si>
  <si>
    <t>**Stress zone:** A move outside {LowerStrikeFmt}–{UpperStrikeFmt} can overwhelm the premium collected and increase risk. Options: {OptionPnL} ({OptionROI}). Net: {NetPnL} ({NetROI}).</t>
  </si>
  <si>
    <t>**Fixed‑outcome profile:** This is designed to behave like a mostly fixed payoff; results depend more on carrying cost and early close than stock direction. Options: {OptionPnL} ({OptionROI}). Net: {NetPnL} ({NetROI}).</t>
  </si>
  <si>
    <t>**Stock‑like downside:** This position behaves similarly to owning shares when the stock falls. Options: {OptionPnL} ({OptionROI}). Net: {NetPnL} ({NetROI}).</t>
  </si>
  <si>
    <t>**Stock‑like exposure:** This position is designed to track the stock’s movement around the strike ({PrimaryStrikeFmt}). Options: {OptionPnL} ({OptionROI}). Net: {NetPnL} ({NetROI}).</t>
  </si>
  <si>
    <t>**Stock‑like upside:** This position behaves similarly to owning shares when the stock rises. Options: {OptionPnL} ({OptionROI}). Net: {NetPnL} ({NetROI}).</t>
  </si>
  <si>
    <t>**Stock‑like gain:** This position behaves similarly to being short shares when the stock falls. Options: {OptionPnL} ({OptionROI}). Net: {NetPnL} ({NetROI}).</t>
  </si>
  <si>
    <t>**Stock‑like exposure:** This position is designed to track the inverse of the stock’s movement around the strike ({PrimaryStrikeFmt}). Options: {OptionPnL} ({OptionROI}). Net: {NetPnL} ({NetROI}).</t>
  </si>
  <si>
    <t>**Stock‑like risk:** This position behaves similarly to being short shares when the stock rises (risk increases with further upside). Options: {OptionPnL} ({OptionROI}). Net: {NetPnL} ({NetROI}).</t>
  </si>
  <si>
    <t>**Directional tilt:** This structure is bullish, but downside below the put strike remains the key risk. Options: {OptionPnL} ({OptionROI}). Net: {NetPnL} ({NetROI}).</t>
  </si>
  <si>
    <t>**Bullish zone:** Above the call strike, gains typically increase with further upside. Options: {OptionPnL} ({OptionROI}). Net: {NetPnL} ({NetROI}).</t>
  </si>
  <si>
    <t>**Downside risk zone:** Below the put strike, losses can grow similarly to stock ownership. Options: {OptionPnL} ({OptionROI}). Net: {NetPnL} ({NetROI}).</t>
  </si>
  <si>
    <t>**Directional tilt:** This structure is bearish, but upside above the call strike remains the key risk. Options: {OptionPnL} ({OptionROI}). Net: {NetPnL} ({NetROI}).</t>
  </si>
  <si>
    <t>**Bearish zone:** Below the put strike, gains typically increase with further downside. Options: {OptionPnL} ({OptionROI}). Net: {NetPnL} ({NetROI}).</t>
  </si>
  <si>
    <t>**Upside risk zone:** Above the call strike, losses can keep growing if the stock continues higher. Options: {OptionPnL} ({OptionROI}). Net: {NetPnL} ({NetROI}).</t>
  </si>
  <si>
    <t>**Big‑move zone:** A larger move away from ({CenterStrikeFmt}) is typically what this structure needs to improve. Options: {OptionPnL} ({OptionROI}). Net: {NetPnL} ({NetROI}).</t>
  </si>
  <si>
    <t>**Income zone:** If the stock stays near the strike ({CenterStrikeFmt}), premium retention is typically strongest. Options: {OptionPnL} ({OptionROI}). Net: {NetPnL} ({NetROI}).</t>
  </si>
  <si>
    <t>**Stress zone:** A large move can increase losses as the move extends. Options: {OptionPnL} ({OptionROI}). Net: {NetPnL} ({NetROI}).</t>
  </si>
  <si>
    <t>**High‑risk zone:** With continued upside, losses can keep growing because risk is not fully capped. Options: {OptionPnL} ({OptionROI}). Net: {NetPnL} ({NetROI}).</t>
  </si>
  <si>
    <t>**High‑risk zone:** With continued downside, losses can keep growing because risk is not fully capped. Options: {OptionPnL} ({OptionROI}). Net: {NetPnL} ({NetROI}).</t>
  </si>
  <si>
    <t>**Big‑move zone:** A move outside ({LowerStrikeFmt}–{UpperStrikeFmt}) is typically what this structure needs to improve. Options: {OptionPnL} ({OptionROI}). Net: {NetPnL} ({NetROI}).</t>
  </si>
  <si>
    <t>**Income zone:** If the stock stays between {LowerStrikeFmt} and {UpperStrikeFmt}, premium retention is typically strongest. Options: {OptionPnL} ({OptionROI}). Net: {NetPnL} ({NetROI}).</t>
  </si>
  <si>
    <t>**Stress zone:** A move outside ({LowerStrikeFmt}–{UpperStrikeFmt}) can increase losses as the move extends. Options: {OptionPnL} ({OptionROI}). Net: {NetPnL} ({NetROI}).</t>
  </si>
  <si>
    <t>**Income‑focused:** This structure benefits if the stock holds above the strike area; downside remains the primary risk. Options: {OptionPnL} ({OptionROI}). Net: {NetPnL} ({NetROI}).</t>
  </si>
  <si>
    <t>**Upside limited:** Above the strike area, gains are typically limited to premium retained. Options: {OptionPnL} ({OptionROI}). Net: {NetPnL} ({NetROI}).</t>
  </si>
  <si>
    <t>**Downside risk zone:** As the stock falls below the strike area, losses can grow similarly to stock ownership. Options: {OptionPnL} ({OptionROI}). Net: {NetPnL} ({NetROI}).</t>
  </si>
  <si>
    <t>**Income‑focused:** This structure benefits if the stock stays contained; a strong rally is the primary risk. Options: {OptionPnL} ({OptionROI}). Net: {NetPnL} ({NetROI}).</t>
  </si>
  <si>
    <t>**Favorable zone:** If the stock declines, the position can benefit up to a point (premium retained). Options: {OptionPnL} ({OptionROI}). Net: {NetPnL} ({NetROI}).</t>
  </si>
  <si>
    <t>**High‑risk zone:** If the stock rises strongly, losses can continue to grow because upside risk is not capped. Options: {OptionPnL} ({OptionROI}). Net: {NetPnL} ({NetROI}).</t>
  </si>
  <si>
    <t>**Stabilized payoff:** This structure is designed to produce a mostly fixed outcome versus the stock; results depend more on carry and early close than direction. Options: {OptionPnL} ({OptionROI}). Net: {NetPnL} ({NetROI}).</t>
  </si>
  <si>
    <t>BUTTONS</t>
  </si>
  <si>
    <t>STRATEGY LEGS</t>
  </si>
  <si>
    <t>SCENARIO ANALYSIS</t>
  </si>
  <si>
    <t>Stock Price</t>
  </si>
  <si>
    <t>Stock P/L</t>
  </si>
  <si>
    <t>Options Strategy Builder</t>
  </si>
  <si>
    <t>SENSITIVITY ANALYSIS</t>
  </si>
  <si>
    <t>Strike Level 2</t>
  </si>
  <si>
    <t>Strike Level 3</t>
  </si>
  <si>
    <t>Strike Level 4</t>
  </si>
  <si>
    <t>GENERIC</t>
  </si>
  <si>
    <t>**Scenario overview:** Review P&amp;L sensitivity around this level. Options: {OptionPnL} ({OptionROI}). Net: {NetPnL} ({NetROI}).</t>
  </si>
  <si>
    <t>**Lower-price scenario:** Downside payoff mechanics dominate here. Options: {OptionPnL} ({OptionROI}). Net: {NetPnL} ({NetROI}).</t>
  </si>
  <si>
    <t>**Higher-price scenario:** Upside payoff mechanics dominate here. Options: {OptionPnL} ({OptionROI}). Net: {NetPnL} ({NetROI}).</t>
  </si>
  <si>
    <t>**Outside range:** The payoff transitions materially outside the core strike region. Options: {OptionPnL} ({OptionROI}). Net: {NetPnL} ({NetROI}).</t>
  </si>
  <si>
    <t>**High‑risk zone:** Losses may continue to grow if the move extends. Options: {OptionPnL} ({OptionROI}). Net: {NetPnL} ({NetROI}).</t>
  </si>
  <si>
    <t>**Custom downside scenario:** Review how the structure behaves below key strikes. Options: {OptionPnL} ({OptionROI}). Net: {NetPnL} ({NetROI}).</t>
  </si>
  <si>
    <t>**Custom upside scenario:** Review how the structure behaves above key strikes. Options: {OptionPnL} ({OptionROI}). Net: {NetPnL} ({NetROI}).</t>
  </si>
  <si>
    <t>Risk Max Loss</t>
  </si>
  <si>
    <t>Risk Max Loss + Treasury Carry</t>
  </si>
  <si>
    <t>Description</t>
  </si>
  <si>
    <t>Opt PnL + Carry</t>
  </si>
  <si>
    <t>Comb PnL + Carry</t>
  </si>
  <si>
    <t>Margin Proxy + Treasury Carry</t>
  </si>
  <si>
    <t>Net Premium + Treasury Carry</t>
  </si>
  <si>
    <t>Cash Secured Notional + Treasury Carry</t>
  </si>
  <si>
    <t>A user-defined strategy with flexible parameters. Its risk and reward profile depends entirely on the specific combination of option legs selected.</t>
  </si>
  <si>
    <t>A long stock position involves purchasing shares of the underlying asset. It offers unlimited profit potential if the price rises and carries significant risk if the price falls to zero.</t>
  </si>
  <si>
    <t>A short stock position involves selling borrowed shares of the underlying asset. It profits if the price falls but carries theoretically unlimited risk if the price rises significantly.</t>
  </si>
  <si>
    <t>A long call consists of buying a call option, giving the right to buy the asset at a fixed price. It offers unlimited upside potential with risk limited to the premium paid, benefiting from a rise in the stock price.</t>
  </si>
  <si>
    <t>A short call involves selling a call option, creating an obligation to sell the asset at a fixed price. It offers limited profit (the premium received) but carries theoretically unlimited risk if the stock price rises.</t>
  </si>
  <si>
    <t>A long put consists of buying a put option, giving the right to sell the asset at a fixed price. It profits if the stock price falls, with risk limited to the premium paid.</t>
  </si>
  <si>
    <t>A short put involves selling a put option, creating an obligation to buy the asset at a fixed price. It offers limited profit (the premium received) but carries significant risk if the stock price falls.</t>
  </si>
  <si>
    <t>A covered call consists of holding the underlying stock and selling a call option against it. This strategy generates income from the option premium and offers limited downside protection, but caps the profit potential if the stock rises.</t>
  </si>
  <si>
    <t>A covered put consists of shorting the underlying stock and selling a put option against it. It generates income from the premium to cushion the short stock position but limits the maximum profit if the stock falls.</t>
  </si>
  <si>
    <t>A protective call consists of shorting the underlying stock and buying a call option to hedge. The long call caps the risk of the short stock position if the price rises, creating a synthetic long put profile.</t>
  </si>
  <si>
    <t>A protective put consists of owning the underlying stock and buying a put option to hedge. The long put limits the downside risk of the stock position, creating a synthetic long call profile.</t>
  </si>
  <si>
    <t>A collar consists of holding the underlying stock, buying a protective put, and selling a covered call. It limits both risk and reward, effectively locking the position's value within a specific price range.</t>
  </si>
  <si>
    <t>A bull call spread consists of buying a lower strike call and selling a higher strike call. It reduces the cost of a long call and profits from a moderate rise in the stock price with defined risk and capped profit.</t>
  </si>
  <si>
    <t>A bear put spread consists of buying a higher strike put and selling a lower strike put. It reduces the cost of a long put and profits from a moderate decline in the stock price with defined risk and capped profit.</t>
  </si>
  <si>
    <t>A bear call spread consists of selling a lower strike call and buying a higher strike call. It generates a net credit and profits if the stock price falls, stays flat, or rises slightly, provided it stays below the short strike.</t>
  </si>
  <si>
    <t>A bull put spread consists of selling a higher strike put and buying a lower strike put. It generates a net credit and profits if the stock price rises, stays flat, or falls slightly, provided it stays above the short strike.</t>
  </si>
  <si>
    <t>A call ratio backspread consists of selling one lower strike call and buying two (or more) higher strike calls. It offers unlimited profit potential from a sharp rally or high volatility, with limited risk if the stock falls.</t>
  </si>
  <si>
    <t>A put ratio backspread consists of selling one higher strike put and buying two (or more) lower strike puts. It offers significant profit potential from a sharp decline or high volatility, with limited risk if the stock rises.</t>
  </si>
  <si>
    <t>A call ratio spread consists of buying one lower strike call and selling two (or more) higher strike calls. It profits from a slight rise or neutral price action but carries unlimited risk if the stock rallies significantly.</t>
  </si>
  <si>
    <t>A put ratio spread consists of buying one higher strike put and selling two (or more) lower strike puts. It profits from a slight fall or neutral price action but carries significant risk if the stock crashes.</t>
  </si>
  <si>
    <t>A bull call ladder consists of a bull call spread with an additional short call sold at a higher strike. It profits from a moderate rise in price but carries unlimited risk if the stock continues to rally aggressively.</t>
  </si>
  <si>
    <t>A bear put ladder consists of a bear put spread with an additional short put sold at a lower strike. It profits from a moderate decline in price but carries significant risk if the stock crashes below the lowest strike.</t>
  </si>
  <si>
    <t>A bear call ladder consists of selling an ITM call and buying two higher strike calls. Despite the name, it is a bullish volatility strategy that profits if the stock rallies significantly, with limited risk if the stock falls.</t>
  </si>
  <si>
    <t>A bull put ladder consists of selling an ITM put and buying two lower strike puts. It is a bearish volatility strategy that profits if the stock crashes significantly, with limited risk if the stock rises.</t>
  </si>
  <si>
    <t>A long call butterfly consists of buying one lower call, selling two middle calls, and buying one higher call. It profits if the stock price remains stable near the middle strike at expiration.</t>
  </si>
  <si>
    <t>A long put butterfly consists of buying one lower put, selling two middle puts, and buying one higher put. It profits if the stock price remains stable near the middle strike at expiration.</t>
  </si>
  <si>
    <t>An iron butterfly consists of selling an at-the-money straddle and buying an out-of-the-money strangle. It profits from neutral price action where the stock stays near the central strike, with defined risk.</t>
  </si>
  <si>
    <t>A long call condor consists of buying a low strike call, selling a lower-mid call, selling a higher-mid call, and buying a high strike call. It profits if the stock price stays within the range of the two middle strikes.</t>
  </si>
  <si>
    <t>A long put condor consists of buying a low strike put, selling a lower-mid put, selling a higher-mid put, and buying a high strike put. It profits if the stock price stays within the range of the two middle strikes.</t>
  </si>
  <si>
    <t>An iron condor consists of selling an out-of-the-money put spread and selling an out-of-the-money call spread. It profits if the stock price remains between the two short strikes (the inner range).</t>
  </si>
  <si>
    <t>A short call butterfly consists of selling one lower call, buying two middle calls, and selling one higher call. It profits from high volatility if the stock price moves significantly away from the middle strike.</t>
  </si>
  <si>
    <t>A short put butterfly consists of selling one lower put, buying two middle puts, and selling one higher put. It profits from high volatility if the stock price moves significantly away from the middle strike.</t>
  </si>
  <si>
    <t>A reverse iron butterfly consists of buying an at-the-money straddle and selling an out-of-the-money strangle. It profits from high volatility, gaining value if the stock moves significantly in either direction.</t>
  </si>
  <si>
    <t>A short call condor consists of selling a low strike call, buying a lower-mid call, buying a higher-mid call, and selling a high strike call. It profits if the stock price breaks out of the range of the middle strikes.</t>
  </si>
  <si>
    <t>A short put condor consists of selling a low strike put, buying a lower-mid put, buying a higher-mid put, and selling a high strike put. It profits if the stock price breaks out of the range of the middle strikes.</t>
  </si>
  <si>
    <t>A reverse iron condor consists of buying a bull call spread and buying a bear put spread. It profits from high volatility, gaining value if the stock moves significantly outside the inner strikes.</t>
  </si>
  <si>
    <t>A long straddle consists of buying an at-the-money call and an at-the-money put. It offers unlimited profit potential from a large move in either direction, benefiting from high volatility.</t>
  </si>
  <si>
    <t>A short straddle consists of selling an at-the-money call and an at-the-money put. It profits if the stock price remains stable at the strike price, but carries unlimited risk if the market moves significantly.</t>
  </si>
  <si>
    <t>A long strangle consists of buying an out-of-the-money call and an out-of-the-money put. It requires a larger move than a straddle to profit but costs less upfront, benefiting from high volatility.</t>
  </si>
  <si>
    <t>A short strangle consists of selling an out-of-the-money call and an out-of-the-money put. It profits if the stock price remains between the two strike prices, but carries unlimited risk on a breakout.</t>
  </si>
  <si>
    <t>A long guts consists of buying an in-the-money call and an in-the-money put. It functions like a straddle but with higher premiums, profiting from significant price movement in either direction.</t>
  </si>
  <si>
    <t>A short guts consists of selling an in-the-money call and an in-the-money put. It is a credit strategy that profits if the stock remains range-bound between the strikes.</t>
  </si>
  <si>
    <t>A strip consists of buying one at-the-money call and two at-the-money puts. It is a bearish volatility strategy that profits more from a downward move than an upward move.</t>
  </si>
  <si>
    <t>A strap consists of buying two at-the-money calls and one at-the-money put. It is a bullish volatility strategy that profits more from an upward move than a downward move.</t>
  </si>
  <si>
    <t>A covered short straddle consists of a long stock position combined with a short straddle. It profits from neutral to slightly bullish price action, with the stock covering the risk of the short call leg.</t>
  </si>
  <si>
    <t>A covered short strangle consists of a long stock position combined with a short strangle. It profits if the stock stays within a specific range or rises moderately, with the stock hedging the short call.</t>
  </si>
  <si>
    <t>A long box spread consists of buying a bull call spread and buying a bear put spread with the same strikes. It is an arbitrage strategy used to lock in a risk-free return (synthetic lending).</t>
  </si>
  <si>
    <t>A short box spread consists of selling a bull call spread and selling a bear put spread with the same strikes. It is an arbitrage strategy used to borrow cash at a fixed rate (synthetic borrowing).</t>
  </si>
  <si>
    <t>A synthetic long stock consists of buying a call and selling a put at the same strike price. It mimics the payoff profile of owning the underlying stock with unlimited upside and downside risk.</t>
  </si>
  <si>
    <t>A synthetic short stock consists of selling a call and buying a put at the same strike price. It mimics the payoff profile of shorting the stock with unlimited upside risk and profit from a decline.</t>
  </si>
  <si>
    <t>A long combo consists of selling an OTM put and buying an OTM call. It is a bullish strategy that mimics long stock but with a "flat" zone in the middle where no profit or loss occurs.</t>
  </si>
  <si>
    <t>A short combo consists of buying an OTM put and selling an OTM call. It is a bearish strategy that mimics short stock but with a "flat" zone in the middle where no profit or loss occurs.</t>
  </si>
  <si>
    <t>A long call synthetic straddle consists of a short stock position combined with two long calls. It mimics the payoff of a long straddle, profiting from high volatility in either direction.</t>
  </si>
  <si>
    <t>A long put synthetic straddle consists of a long stock position combined with two long puts. It mimics the payoff of a long straddle, profiting from high volatility in either direction.</t>
  </si>
  <si>
    <t>A short call synthetic straddle consists of a long stock position combined with two short calls. It mimics the payoff of a short straddle, profiting from neutral price action.</t>
  </si>
  <si>
    <t>A short put synthetic straddle consists of a short stock position combined with two short puts. It mimics the payoff of a short straddle, profiting from neutral price action.</t>
  </si>
  <si>
    <t>A long call synthetic strangle consists of a short stock position combined with a lower strike long call and a higher strike long call. It mimics a long strangle, profiting from high volatility.</t>
  </si>
  <si>
    <t>A long put synthetic strangle consists of a long stock position combined with a lower strike long put and a higher strike long put. It mimics a long strangle, profiting from high volatility.</t>
  </si>
  <si>
    <t>A short call synthetic strangle consists of a long stock position combined with a lower strike short call and a higher strike short call. It mimics a short strangle, profiting from neutral price action.</t>
  </si>
  <si>
    <t>A short put synthetic strangle consists of a short stock position combined with a lower strike short put and a higher strike short put. It mimics a short strangle, profiting from neutral price action.</t>
  </si>
  <si>
    <t>A synthetic covered call is constructed by selling a put option. It replicates the risk and reward profile of a covered call (income generation with capped upside and downside risk).</t>
  </si>
  <si>
    <t>A synthetic covered put is constructed by selling a call option. It replicates the risk and reward profile of a covered put (income generation with capped profit on the downside).</t>
  </si>
  <si>
    <t>A conversion consists of long stock, a long put, and a short call. It is an arbitrage strategy that locks in a risk-free profit if the call option is overpriced relative to the put.</t>
  </si>
  <si>
    <t>Margin Proxy</t>
  </si>
  <si>
    <t>Cash Secured Notional</t>
  </si>
  <si>
    <t>ROI - margin calc type</t>
  </si>
  <si>
    <t>capOpt basis: uses max possible option loss if finite; if the option loss is unlimited, it falls back to Margin Proxy.
In your covered call: short call has unlimited option-only loss → capOpt becomes Margin Proxy. 
Your observed Option ROI ≈ 13.05% implies capOpt is about $1,240 / 0.1305 ≈ $9,500, which matches your margin proxy rule of thumb (~20% of spot notional).</t>
  </si>
  <si>
    <t>Same denominator as Risk Max Loss.
Adds carry to Option PnL and Net PnL shown in the unified dashboard (and advisory tokens).
Effect size depends on Val_RiskFreeRate and Disp_DTE. For typical rates/DTE, it’s usually a modest add-on.</t>
  </si>
  <si>
    <t>capOpt basis: always uses GetMarginProxy(...).
In your covered call, it will look essentially the same as “Risk Max Loss” because Risk Max Loss already falls back to margin proxy for unlimited-loss option shapes.</t>
  </si>
  <si>
    <t>Same as Margin Proxy, plus carry.</t>
  </si>
  <si>
    <t>capOpt basis: ABS(net option premium).
In your covered call, net premium is $1,240 credit, so capOpt = $1,240.
That makes Option Strategy ROI explode upward in benign scenarios:
at prices ≤ 500, Option PnL ≈ $1,240 → Option ROI ≈ 100%
Net ROI also increases because CapTotal becomes CapStock + 1,240 instead of CapStock + ~9,500.</t>
  </si>
  <si>
    <t>Same denominator as Net Premium.
Carry is included only if the structure is a credit/collateral style per your code’s rule:
you do include carry here because your net option cash is a credit.
Carry amount is computed on capOpt = $1,240, so carry will be much smaller than with margin-based policies.</t>
  </si>
  <si>
    <t>capOpt basis: intended for uncovered short puts: uncovered_qty * strike * multiplier.
If there are no relevant short puts, or if the position has unlimited downside, it falls back (ultimately often to margin proxy).
In your covered call, there are no short puts, and option-only risk is unlimited, so this will effectively behave like Margin Proxy.</t>
  </si>
  <si>
    <t>Same as Cash Secured Notional, plus carry.
In your covered call, that means: behaves like Margin Proxy + Carry.</t>
  </si>
  <si>
    <t>These policies affect two things only: the ROI denominator (capital basis), and whether a Treasury carry amount is added to displayed P&amp;L/ROI. They do not change payoff math; they change presentation of ROI and (optionally) add carry. Below, “capOpt” = option capital basis used for Option Strategy ROI, and “carry” = capOpt * rfRate * (DTE/365).</t>
  </si>
  <si>
    <t>Prob: 25% Profit</t>
  </si>
  <si>
    <t>Prob: 50% Profit</t>
  </si>
  <si>
    <t>Prob: 100% Profit</t>
  </si>
  <si>
    <t>Option Strategy Key Levels</t>
  </si>
  <si>
    <t>Strat ID</t>
  </si>
  <si>
    <t>SETTINGS</t>
  </si>
  <si>
    <t xml:space="preserve">**Scenario overview:** This is a custom structure, so the key takeaway is how P&amp;L changes as price moves. </t>
  </si>
  <si>
    <t xml:space="preserve">**High‑risk zone:** This structure can keep losing money if the stock keeps moving further against you. </t>
  </si>
  <si>
    <t xml:space="preserve">**Down move:** Your shares lose value as the stock falls. </t>
  </si>
  <si>
    <t xml:space="preserve">**Near current level:** Your result is driven mainly by normal day‑to‑day stock movement. </t>
  </si>
  <si>
    <t xml:space="preserve">**Up move:** Your shares gain value as the stock rises. </t>
  </si>
  <si>
    <t xml:space="preserve">**Down move:** A stock decline benefits a short‑stock position (profits grow as price falls). </t>
  </si>
  <si>
    <t xml:space="preserve">**Near current level:** Your result is driven mainly by normal day‑to‑day stock movement (in the opposite direction). </t>
  </si>
  <si>
    <t xml:space="preserve">**Up move (risk):** A stock rally works against a short‑stock position and losses can grow as price rises. </t>
  </si>
  <si>
    <t xml:space="preserve">**Premium‑at‑risk:** The stock is below your call strike ({PrimaryStrikeFmt}), so the option’s value is limited unless the stock rebounds. </t>
  </si>
  <si>
    <t xml:space="preserve">**Decision zone:** Near your call strike ({PrimaryStrikeFmt}), small moves can change the option’s value quickly. </t>
  </si>
  <si>
    <t xml:space="preserve">**Participation zone:** Above your call strike ({PrimaryStrikeFmt}), gains tend to increase as the stock rises. </t>
  </si>
  <si>
    <t xml:space="preserve">**Income zone:** Below your call strike ({PrimaryStrikeFmt}), the call is more likely to expire with limited value. </t>
  </si>
  <si>
    <t xml:space="preserve">**Watch zone:** Near/above your call strike ({PrimaryStrikeFmt}), upside gains can be partially offset and risk increases. </t>
  </si>
  <si>
    <t xml:space="preserve">**High‑risk zone:** Above the call strike ({PrimaryStrikeFmt}), losses can continue to grow if the stock keeps rising. </t>
  </si>
  <si>
    <t xml:space="preserve">**Premium‑at‑risk:** The stock is above your put strike ({PrimaryStrikeFmt}), so the option’s value is limited unless the stock falls. </t>
  </si>
  <si>
    <t xml:space="preserve">**Decision zone:** Near your put strike ({PrimaryStrikeFmt}), downside moves can increase protection quickly. </t>
  </si>
  <si>
    <t xml:space="preserve">**Protection working:** Below your put strike ({PrimaryStrikeFmt}), the put is designed to gain value as the stock falls. </t>
  </si>
  <si>
    <t xml:space="preserve">**Income zone:** Above your put strike ({PrimaryStrikeFmt}), the put is more likely to expire with limited value. </t>
  </si>
  <si>
    <t xml:space="preserve">**Watch zone:** Near your put strike ({PrimaryStrikeFmt}), you are closer to being obligated to buy shares at that level. </t>
  </si>
  <si>
    <t xml:space="preserve">**Assignment zone:** Below the put strike ({PrimaryStrikeFmt}), the position behaves more like buying shares at that strike (downside continues below it). </t>
  </si>
  <si>
    <t xml:space="preserve">**Down move:** The option premium can soften losses, but a large sell‑off still reduces the value of the position. </t>
  </si>
  <si>
    <t xml:space="preserve">**Income zone:** If the stock stays below your call strike ({CapStrikeFmt}), premium income can help support returns. </t>
  </si>
  <si>
    <t xml:space="preserve">**Upside limited:** Above your call strike ({CapStrikeFmt}), further upside is typically capped because shares may be called away. </t>
  </si>
  <si>
    <t xml:space="preserve">**Down move (favorable):** A decline can help this structure, but outcomes depend on where the stock settles versus the put strike ({PrimaryStrikeFmt}). </t>
  </si>
  <si>
    <t xml:space="preserve">**Income zone:** Near the put strike ({PrimaryStrikeFmt}), premium helps, but be aware of potential share delivery obligations. </t>
  </si>
  <si>
    <t xml:space="preserve">**Up move (risk):** If the stock rises above the put strike ({PrimaryStrikeFmt}), the stock leg can drive losses; premium may only partially offset it. </t>
  </si>
  <si>
    <t xml:space="preserve">**Down move (favorable):** A decline benefits the short‑stock leg; the call hedge may not be needed in this zone. </t>
  </si>
  <si>
    <t xml:space="preserve">**Hedge carrying:** Near the call strike ({PrimaryStrikeFmt}), the hedge can reduce upside risk, but it also has a carrying cost. </t>
  </si>
  <si>
    <t xml:space="preserve">**Protection working:** Above the call strike ({PrimaryStrikeFmt}), the long call is designed to limit further losses from a rising stock. </t>
  </si>
  <si>
    <t xml:space="preserve">**Insurance cost:** Above the put strike ({FloorStrikeFmt}), protection may not be needed and the put’s cost can reduce returns. </t>
  </si>
  <si>
    <t xml:space="preserve">**Buffered exposure:** Between current levels and the protection strike ({FloorStrikeFmt}), you still participate in moves, with downside protection further below. </t>
  </si>
  <si>
    <t xml:space="preserve">**Protection working:** Below the put strike ({FloorStrikeFmt}), the hedge is designed to limit further downside on the combined position. </t>
  </si>
  <si>
    <t xml:space="preserve">**Stability zone:** Between the protection level ({FloorStrikeFmt}) and the call strike ({CapStrikeFmt}), the goal is steadier outcomes versus holding stock alone. </t>
  </si>
  <si>
    <t xml:space="preserve">**Protection working:** Below the put strike ({FloorStrikeFmt}), the hedge is designed to limit further downside. </t>
  </si>
  <si>
    <t xml:space="preserve">**Limited downside:** Below the lower strike ({LowerStrikeFmt}), this spread is typically near its worst‑case value (loss limited). </t>
  </si>
  <si>
    <t xml:space="preserve">**Upside building:** Between {LowerStrikeFmt} and {UpperStrikeFmt}, gains typically increase as the stock rises through the spread. </t>
  </si>
  <si>
    <t xml:space="preserve">**Near max value:** Above the upper strike ({UpperStrikeFmt}), the spread is typically near its best‑case value (additional upside adds little). </t>
  </si>
  <si>
    <t xml:space="preserve">**Income zone:** Above the short put strike area, the goal is to retain premium if the stock holds up. </t>
  </si>
  <si>
    <t xml:space="preserve">**Watch zone:** Between {LowerStrikeFmt} and {UpperStrikeFmt}, downside pressure can reduce the position’s value as the stock falls. </t>
  </si>
  <si>
    <t xml:space="preserve">**Defined downside:** Below the lower strike ({LowerStrikeFmt}), losses are typically near their maximum and are limited by the long put. </t>
  </si>
  <si>
    <t xml:space="preserve">**Premium‑at‑risk:** Above the upper strike ({UpperStrikeFmt}), this bearish spread can lose value as the stock rises. </t>
  </si>
  <si>
    <t xml:space="preserve">**Downside building:** Between {LowerStrikeFmt} and {UpperStrikeFmt}, gains typically increase as the stock falls through the spread. </t>
  </si>
  <si>
    <t xml:space="preserve">**Near max value:** Below the lower strike ({LowerStrikeFmt}), the spread is typically near its best‑case value (additional downside adds little). </t>
  </si>
  <si>
    <t xml:space="preserve">**Income zone:** Below the short call strike area, the goal is to retain premium if the stock stays contained. </t>
  </si>
  <si>
    <t xml:space="preserve">**Watch zone:** Between {LowerStrikeFmt} and {UpperStrikeFmt}, upside pressure can reduce the position’s value as the stock rises. </t>
  </si>
  <si>
    <t xml:space="preserve">**Defined upside risk:** Above the upper strike ({UpperStrikeFmt}), losses are typically near their maximum and are limited by the long call. </t>
  </si>
  <si>
    <t xml:space="preserve">**Carry zone:** Below the lower strike ({LowerStrikeFmt}), this position may have limited benefit unless a larger move develops. </t>
  </si>
  <si>
    <t xml:space="preserve">**Transition zone:** Between {LowerStrikeFmt} and {UpperStrikeFmt}, the position is moving toward its “big‑move” payoff profile. </t>
  </si>
  <si>
    <t xml:space="preserve">**Breakout opportunity:** Above the upper strike ({UpperStrikeFmt}), a large rally can accelerate gains because you own extra upside exposure. </t>
  </si>
  <si>
    <t xml:space="preserve">**Carry zone:** Above the upper strike ({UpperStrikeFmt}), this position may have limited benefit unless a larger move develops. </t>
  </si>
  <si>
    <t xml:space="preserve">**Breakout opportunity:** Below the lower strike ({LowerStrikeFmt}), a large sell‑off can accelerate gains because you own extra downside exposure. </t>
  </si>
  <si>
    <t xml:space="preserve">**Contained zone:** Below the lower strike ({LowerStrikeFmt}), outcomes are typically more controlled. </t>
  </si>
  <si>
    <t xml:space="preserve">**Managed zone:** Between {LowerStrikeFmt} and {UpperStrikeFmt}, the position is intended to behave in a more measured way. </t>
  </si>
  <si>
    <t xml:space="preserve">**High‑risk zone:** Above the upper strike ({UpperStrikeFmt}), losses can accelerate because the position remains net short upside exposure. </t>
  </si>
  <si>
    <t xml:space="preserve">**Contained zone:** Above the upper strike ({UpperStrikeFmt}), outcomes are typically more controlled. </t>
  </si>
  <si>
    <t xml:space="preserve">**High‑risk zone:** Below the lower strike ({LowerStrikeFmt}), losses can accelerate because the position remains net short downside exposure. </t>
  </si>
  <si>
    <t xml:space="preserve">**Limited benefit zone:** Below the lower strike ({LowerStrikeFmt}), gains are typically limited and the structure may lag expectations. </t>
  </si>
  <si>
    <t xml:space="preserve">**Step‑up zone:** Between {LowerStrikeFmt} and {UpperStrikeFmt}, the payoff can improve in stages as the stock rises. </t>
  </si>
  <si>
    <t xml:space="preserve">**High‑risk zone:** Above the upper strike ({UpperStrikeFmt}), losses can grow if the structure leaves you net short calls. </t>
  </si>
  <si>
    <t xml:space="preserve">**Limited benefit zone:** Above the upper strike ({UpperStrikeFmt}), gains are typically limited and the structure may lag expectations. </t>
  </si>
  <si>
    <t xml:space="preserve">**Step‑down zone:** Between {LowerStrikeFmt} and {UpperStrikeFmt}, the payoff can improve in stages as the stock falls. </t>
  </si>
  <si>
    <t xml:space="preserve">**High‑risk zone:** Below the lower strike ({LowerStrikeFmt}), losses can grow if the structure leaves you net short puts. </t>
  </si>
  <si>
    <t xml:space="preserve">**Favorable zone:** Below the lower strike ({LowerStrikeFmt}), this structure typically benefits from weakness in the stock. </t>
  </si>
  <si>
    <t xml:space="preserve">**Transition zone:** Between {LowerStrikeFmt} and {UpperStrikeFmt}, the payoff changes as the stock moves through the ladder strikes. </t>
  </si>
  <si>
    <t xml:space="preserve">**Adverse zone:** Above the upper strike ({UpperStrikeFmt}), upside can work against the structure. </t>
  </si>
  <si>
    <t xml:space="preserve">**Favorable zone:** Above the upper strike ({UpperStrikeFmt}), this structure typically benefits from strength in the stock. </t>
  </si>
  <si>
    <t xml:space="preserve">**Adverse zone:** Below the lower strike ({LowerStrikeFmt}), downside can work against the structure. </t>
  </si>
  <si>
    <t xml:space="preserve">**Best‑case zone:** Near the center strike ({CenterStrikeFmt}), this position is designed to be worth the most. </t>
  </si>
  <si>
    <t xml:space="preserve">**Target range:** Inside the outer strikes ({LowerStrikeFmt}–{UpperStrikeFmt}), value depends heavily on where the stock finishes. </t>
  </si>
  <si>
    <t xml:space="preserve">**Outside target range:** Outside the outer strikes ({LowerStrikeFmt}–{UpperStrikeFmt}), the position’s value is typically limited. </t>
  </si>
  <si>
    <t xml:space="preserve">**Best‑case zone:** Near the center strike ({CenterStrikeFmt}), this position is designed to keep the most premium. </t>
  </si>
  <si>
    <t xml:space="preserve">**Comfort zone:** Inside the outer strikes ({LowerStrikeFmt}–{UpperStrikeFmt}), outcomes are typically more stable than outside the range. </t>
  </si>
  <si>
    <t xml:space="preserve">**Stress zone:** Outside the outer strikes ({LowerStrikeFmt}–{UpperStrikeFmt}), losses can grow (though the wings help limit the maximum option loss). </t>
  </si>
  <si>
    <t xml:space="preserve">**Best‑case zone:** Near the center of the structure ({CenterStrikeFmt}), this position is designed to perform best. </t>
  </si>
  <si>
    <t xml:space="preserve">**Target range:** Inside the outer strikes ({LowerStrikeFmt}–{UpperStrikeFmt}), outcomes are typically strongest if the stock stays in range. </t>
  </si>
  <si>
    <t xml:space="preserve">**Outside target range:** Outside the outer strikes ({LowerStrikeFmt}–{UpperStrikeFmt}), the position’s value is typically weaker. </t>
  </si>
  <si>
    <t xml:space="preserve">**Downside stress (options):** Below the lower short strike ({LowerStrikeFmt}), the option overlay can lose value, but the long put helps limit the maximum option loss. </t>
  </si>
  <si>
    <t xml:space="preserve">**Income zone:** Between {LowerStrikeFmt} and {UpperStrikeFmt}, the goal is to retain premium if the stock stays contained. </t>
  </si>
  <si>
    <t xml:space="preserve">**Upside stress (options):** Above the upper short strike ({UpperStrikeFmt}), the option overlay can lose value, but the long call helps limit the maximum option loss. </t>
  </si>
  <si>
    <t xml:space="preserve">**Highest risk point:** Near the center strike ({CenterStrikeFmt}), this short structure is typically closest to its worst‑case outcome. </t>
  </si>
  <si>
    <t xml:space="preserve">**Improving zone:** Moving away from the center within ({LowerStrikeFmt}–{UpperStrikeFmt}) can improve outcomes versus the peak‑risk point. </t>
  </si>
  <si>
    <t xml:space="preserve">**Recovery zone:** Outside the outer strikes ({LowerStrikeFmt}–{UpperStrikeFmt}), the position can recover as the stock moves away from the center. </t>
  </si>
  <si>
    <t xml:space="preserve">**Highest risk point:** Near the center strike ({CenterStrikeFmt}), this long structure is typically closest to its worst‑case outcome (premium paid). </t>
  </si>
  <si>
    <t xml:space="preserve">**Premium‑decay zone:** If the stock stays near the center, the position can lose value over time. </t>
  </si>
  <si>
    <t xml:space="preserve">**Big‑move zone:** A larger move outside ({LowerStrikeFmt}–{UpperStrikeFmt}) is typically what this structure needs to improve. </t>
  </si>
  <si>
    <t xml:space="preserve">**Best‑case zone:** Near the middle of the range ({CenterStrikeFmt}), this short structure is designed to retain the most premium. </t>
  </si>
  <si>
    <t xml:space="preserve">**Income zone:** Inside ({LowerStrikeFmt}–{UpperStrikeFmt}), the goal is to keep premium if the stock stays contained. </t>
  </si>
  <si>
    <t xml:space="preserve">**Stress zone:** Outside ({LowerStrikeFmt}–{UpperStrikeFmt}), losses can grow (typically limited by the outer long options). </t>
  </si>
  <si>
    <t xml:space="preserve">**Premium‑at‑risk:** Near the center of the range ({CenterStrikeFmt}), this long structure is typically closest to its worst‑case outcome (premium paid). </t>
  </si>
  <si>
    <t xml:space="preserve">**Premium‑decay zone:** If the stock stays inside the central range, the position can lose value over time. </t>
  </si>
  <si>
    <t xml:space="preserve">**Needs movement:** If the stock stays near the strike ({CenterStrikeFmt}), the options can lose value over time. </t>
  </si>
  <si>
    <t xml:space="preserve">**Big‑move zone:** A larger move away from the strike ({CenterStrikeFmt}) is typically what this position needs to improve. </t>
  </si>
  <si>
    <t xml:space="preserve">**Income zone:** If the stock stays near the strike ({CenterStrikeFmt}), this position is designed to keep more of the premium. </t>
  </si>
  <si>
    <t xml:space="preserve">**Stress zone:** A large move away from the strike ({CenterStrikeFmt}) can create losses that grow as the move extends. </t>
  </si>
  <si>
    <t xml:space="preserve">**High‑risk zone:** With a continued large move, losses can keep growing (risk is not naturally capped). </t>
  </si>
  <si>
    <t xml:space="preserve">**Needs movement:** If the stock stays between {LowerStrikeFmt} and {UpperStrikeFmt}, the options can lose value over time. </t>
  </si>
  <si>
    <t xml:space="preserve">**Big‑move zone:** A move outside ({LowerStrikeFmt}–{UpperStrikeFmt}) is typically what this position needs to improve. </t>
  </si>
  <si>
    <t xml:space="preserve">**Income zone:** If the stock stays between {LowerStrikeFmt} and {UpperStrikeFmt}, this position is designed to keep more of the premium. </t>
  </si>
  <si>
    <t xml:space="preserve">**Stress zone:** A move outside ({LowerStrikeFmt}–{UpperStrikeFmt}) can create losses that grow as the move extends. </t>
  </si>
  <si>
    <t xml:space="preserve">**Needs movement:** If the stock stays inside the guts range, the options can lose value over time. </t>
  </si>
  <si>
    <t xml:space="preserve">**Big‑move zone:** A move outside the guts range is typically what this position needs to improve. </t>
  </si>
  <si>
    <t xml:space="preserve">**Income zone:** If the stock stays inside the guts range, this position is designed to keep more premium. </t>
  </si>
  <si>
    <t xml:space="preserve">**Stress zone:** A move outside the guts range can create losses that grow as the move extends. </t>
  </si>
  <si>
    <t xml:space="preserve">**Needs movement (downside‑tilted):** If the stock stays near the strike, the options can lose value over time; downside moves matter more here. </t>
  </si>
  <si>
    <t xml:space="preserve">**Big‑move zone:** A larger move (especially down) can improve results for this structure. </t>
  </si>
  <si>
    <t xml:space="preserve">**Needs movement (upside‑tilted):** If the stock stays near the strike, the options can lose value over time; upside moves matter more here. </t>
  </si>
  <si>
    <t xml:space="preserve">**Big‑move zone:** A larger move (especially up) can improve results for this structure. </t>
  </si>
  <si>
    <t xml:space="preserve">**Income overlay:** Premium income can help if the stock stays near the strike area, but large moves change the profile quickly. </t>
  </si>
  <si>
    <t xml:space="preserve">**Stress zone:** A large move can overwhelm the premium collected and increase risk. </t>
  </si>
  <si>
    <t xml:space="preserve">**High‑risk zone:** With a continued strong move, losses can keep growing despite the overlay. </t>
  </si>
  <si>
    <t xml:space="preserve">**Income overlay:** Premium income can help if the stock stays within {LowerStrikeFmt}–{UpperStrikeFmt}, but a breakout changes the profile quickly. </t>
  </si>
  <si>
    <t xml:space="preserve">**Stress zone:** A move outside {LowerStrikeFmt}–{UpperStrikeFmt} can overwhelm the premium collected and increase risk. </t>
  </si>
  <si>
    <t xml:space="preserve">**Fixed‑outcome profile:** This is designed to behave like a mostly fixed payoff; results depend more on carrying cost and early close than stock direction. </t>
  </si>
  <si>
    <t xml:space="preserve">**Stock‑like downside:** This position behaves similarly to owning shares when the stock falls. </t>
  </si>
  <si>
    <t xml:space="preserve">**Stock‑like exposure:** This position is designed to track the stock’s movement around the strike ({PrimaryStrikeFmt}). </t>
  </si>
  <si>
    <t xml:space="preserve">**Stock‑like upside:** This position behaves similarly to owning shares when the stock rises. </t>
  </si>
  <si>
    <t xml:space="preserve">**Stock‑like gain:** This position behaves similarly to being short shares when the stock falls. </t>
  </si>
  <si>
    <t xml:space="preserve">**Stock‑like exposure:** This position is designed to track the inverse of the stock’s movement around the strike ({PrimaryStrikeFmt}). </t>
  </si>
  <si>
    <t xml:space="preserve">**Stock‑like risk:** This position behaves similarly to being short shares when the stock rises (risk increases with further upside). </t>
  </si>
  <si>
    <t xml:space="preserve">**Directional tilt:** This structure is bullish, but downside below the put strike remains the key risk. </t>
  </si>
  <si>
    <t xml:space="preserve">**Bullish zone:** Above the call strike, gains typically increase with further upside. </t>
  </si>
  <si>
    <t xml:space="preserve">**Downside risk zone:** Below the put strike, losses can grow similarly to stock ownership. </t>
  </si>
  <si>
    <t xml:space="preserve">**Directional tilt:** This structure is bearish, but upside above the call strike remains the key risk. </t>
  </si>
  <si>
    <t xml:space="preserve">**Bearish zone:** Below the put strike, gains typically increase with further downside. </t>
  </si>
  <si>
    <t xml:space="preserve">**Upside risk zone:** Above the call strike, losses can keep growing if the stock continues higher. </t>
  </si>
  <si>
    <t xml:space="preserve">**Big‑move zone:** A larger move away from ({CenterStrikeFmt}) is typically what this structure needs to improve. </t>
  </si>
  <si>
    <t xml:space="preserve">**Income zone:** If the stock stays near the strike ({CenterStrikeFmt}), premium retention is typically strongest. </t>
  </si>
  <si>
    <t xml:space="preserve">**Stress zone:** A large move can increase losses as the move extends. </t>
  </si>
  <si>
    <t xml:space="preserve">**High‑risk zone:** With continued upside, losses can keep growing because risk is not fully capped. </t>
  </si>
  <si>
    <t xml:space="preserve">**High‑risk zone:** With continued downside, losses can keep growing because risk is not fully capped. </t>
  </si>
  <si>
    <t xml:space="preserve">**Big‑move zone:** A move outside ({LowerStrikeFmt}–{UpperStrikeFmt}) is typically what this structure needs to improve. </t>
  </si>
  <si>
    <t xml:space="preserve">**Income zone:** If the stock stays between {LowerStrikeFmt} and {UpperStrikeFmt}, premium retention is typically strongest. </t>
  </si>
  <si>
    <t xml:space="preserve">**Stress zone:** A move outside ({LowerStrikeFmt}–{UpperStrikeFmt}) can increase losses as the move extends. </t>
  </si>
  <si>
    <t xml:space="preserve">**Income‑focused:** This structure benefits if the stock holds above the strike area; downside remains the primary risk. </t>
  </si>
  <si>
    <t xml:space="preserve">**Upside limited:** Above the strike area, gains are typically limited to premium retained. </t>
  </si>
  <si>
    <t xml:space="preserve">**Downside risk zone:** As the stock falls below the strike area, losses can grow similarly to stock ownership. </t>
  </si>
  <si>
    <t xml:space="preserve">**Income‑focused:** This structure benefits if the stock stays contained; a strong rally is the primary risk. </t>
  </si>
  <si>
    <t xml:space="preserve">**Favorable zone:** If the stock declines, the position can benefit up to a point (premium retained). </t>
  </si>
  <si>
    <t xml:space="preserve">**High‑risk zone:** If the stock rises strongly, losses can continue to grow because upside risk is not capped. </t>
  </si>
  <si>
    <t xml:space="preserve">**Stabilized payoff:** This structure is designed to produce a mostly fixed outcome versus the stock; results depend more on carry and early close than direction. </t>
  </si>
  <si>
    <t xml:space="preserve">**Scenario overview:** Review P&amp;L sensitivity around this level. </t>
  </si>
  <si>
    <t xml:space="preserve">**Lower-price scenario:** Downside payoff mechanics dominate here. </t>
  </si>
  <si>
    <t xml:space="preserve">**Higher-price scenario:** Upside payoff mechanics dominate here. </t>
  </si>
  <si>
    <t xml:space="preserve">**Outside range:** The payoff transitions materially outside the core strike region. </t>
  </si>
  <si>
    <t xml:space="preserve">**High‑risk zone:** Losses may continue to grow if the move extends. </t>
  </si>
  <si>
    <t xml:space="preserve">**Custom downside scenario:** Review how the structure behaves below key strikes. </t>
  </si>
  <si>
    <t xml:space="preserve">**Custom upside scenario:** Review how the structure behaves above key strikes. </t>
  </si>
  <si>
    <t>Old</t>
  </si>
  <si>
    <t>Capital Basis (Selected Policy)</t>
  </si>
  <si>
    <t>Max ROI (at Exp.)</t>
  </si>
  <si>
    <t>Min ROI (at Exp.)</t>
  </si>
  <si>
    <t>Annualized Max ROI (APR)</t>
  </si>
  <si>
    <t>Net Premium per Share</t>
  </si>
  <si>
    <t>Net Premium (% of Spot)</t>
  </si>
  <si>
    <t>Closest Breakeven</t>
  </si>
  <si>
    <t>Breakeven Distance (%)</t>
  </si>
  <si>
    <t>Downside Buffer ($)</t>
  </si>
  <si>
    <t>Downside Buffer (%)</t>
  </si>
  <si>
    <t>Client Position</t>
  </si>
  <si>
    <t>Shares</t>
  </si>
  <si>
    <t>Avg. Cost</t>
  </si>
  <si>
    <t>Mkt Value</t>
  </si>
  <si>
    <t>PnL $</t>
  </si>
  <si>
    <t>Pnl %</t>
  </si>
  <si>
    <t>Cost Value</t>
  </si>
  <si>
    <t>Client report - option leg</t>
  </si>
  <si>
    <t>Quantity</t>
  </si>
  <si>
    <t>Expiry</t>
  </si>
  <si>
    <t>add sources and disclaimers</t>
  </si>
  <si>
    <t>revise strategy level PoP / PoA - unclear how underlying stock position affects</t>
  </si>
  <si>
    <t>print to pdf button for report</t>
  </si>
  <si>
    <t>Importance</t>
  </si>
  <si>
    <t>Calculations</t>
  </si>
  <si>
    <t>incorrect scaling for default strikes - options steps for low price stocks (agnc doesnt have 10.5 at a certain expiration)</t>
  </si>
  <si>
    <t>Base Enhancements</t>
  </si>
  <si>
    <t>Dashboard UX</t>
  </si>
  <si>
    <t>Report Generation</t>
  </si>
  <si>
    <t>Audit</t>
  </si>
  <si>
    <t>tool doesn't support DTE manual override for indvidual legs --&gt; BBG cant find right strikes</t>
  </si>
  <si>
    <t>Medium</t>
  </si>
  <si>
    <t>BBG Rf Rate not interpolated to option expiry date (default is USGG3M), ROI calculations affected. Margin model uses manual RF input, not BBG feed.</t>
  </si>
  <si>
    <t>Implement toggle to show all/some columns for UnifiedDashBoard table</t>
  </si>
  <si>
    <t>Structural Enhancements</t>
  </si>
  <si>
    <t>Build strike optimization engine</t>
  </si>
  <si>
    <t>Build strategy comparison tool (i.e. plot two strategies, compares strategies in PNL/ROI tables, etc.)</t>
  </si>
  <si>
    <t>Build position management engine, using greeks etc., to show client an update/recommendation on current position. IE margin use excessive, roll, early assignment)</t>
  </si>
  <si>
    <t>improve dashboard layout</t>
  </si>
  <si>
    <t>Optimize code structure, named cells, dropdown list logics, references / helperfields, outputs</t>
  </si>
  <si>
    <t>Deep audit of calculations (PNL, ROI, Combined) across Margin / ROI Models, as well as on BSM d2 calculations for PoP/PoA/etc.</t>
  </si>
  <si>
    <t>make the "Fetch BBG button" shift to the BBG_Data Worksheet before initializing refresh</t>
  </si>
  <si>
    <t>add input cell for CIO Rating</t>
  </si>
  <si>
    <t>Prepare full documentation on file structure, data sources and specific data used, macro logic, calculation logic, wireframe.  Rationale for design choices needed.</t>
  </si>
  <si>
    <t>Fix updatechartmacro, only works when run on Dashboard sheet</t>
  </si>
  <si>
    <t>BSM does not work with N/A values from BBG, need to amend macro to return 0</t>
  </si>
  <si>
    <t>Critical</t>
  </si>
  <si>
    <t>Paste tables to report directly from macros, scale according to columns included. Rearrange Options PnL/ROI in table summary</t>
  </si>
  <si>
    <t>Option expiry calendar depend on manual user input, find way to automate calendar feed (holiday aware)</t>
  </si>
  <si>
    <t>Deep audit of advisory logic, is contextual awareness working as intended - are all comments correct</t>
  </si>
  <si>
    <t>notional exposure --&gt; underlying stock notional exposure</t>
  </si>
  <si>
    <t>SummaryStats table need to be context aware - drop rows based on relevance to strategy</t>
  </si>
  <si>
    <t>Table Mode</t>
  </si>
  <si>
    <t>Margin mode</t>
  </si>
  <si>
    <t>ROI model</t>
  </si>
  <si>
    <t>Scenario mode</t>
  </si>
  <si>
    <t>Price (x axis)</t>
  </si>
  <si>
    <t>P/L (y axis)</t>
  </si>
  <si>
    <t>Remove the PNL placeholders in advisory comments</t>
  </si>
  <si>
    <t>Implement Margin model (as per Finra/UBS/proxy-IBKR per each stratgey/account type/product), add margin mode toggle (finra/UBS/proxy) with mapping table</t>
  </si>
  <si>
    <t>Option ROI</t>
  </si>
  <si>
    <t>Key Levels</t>
  </si>
  <si>
    <t>Advisory Commentary</t>
  </si>
  <si>
    <t>MSFT US Equity</t>
  </si>
  <si>
    <t>StrategyName</t>
  </si>
  <si>
    <t>Status</t>
  </si>
  <si>
    <t>ConditionFlags</t>
  </si>
  <si>
    <t>SubAccountTypeFlags</t>
  </si>
  <si>
    <t>SubAccountOverrides</t>
  </si>
  <si>
    <t>Covered Call (short call covered by long shares)</t>
  </si>
  <si>
    <t>ALLOWED_CONDITIONAL</t>
  </si>
  <si>
    <t>REQ_SHARES</t>
  </si>
  <si>
    <t>SUB_CASH|SUB_COLLATERAL</t>
  </si>
  <si>
    <t>Allowed when client holds sufficient shares</t>
  </si>
  <si>
    <t>Hedged Put / Protective Put (long shares + long put)</t>
  </si>
  <si>
    <t>Firm definition: long underlying + purchase long puts only</t>
  </si>
  <si>
    <t>Secured Put (short put secured by T-Bills)</t>
  </si>
  <si>
    <t>CASH_OR_TBILL_SECURED</t>
  </si>
  <si>
    <t>SUB_COLLATERAL:NOT_ALLOWED(NO_PLEDGED_SUPPORT)</t>
  </si>
  <si>
    <t>Allowed only when secured in cash account; not available in pledged/collateral variant</t>
  </si>
  <si>
    <t>Long Options (buy calls/puts)</t>
  </si>
  <si>
    <t>ALLOWED</t>
  </si>
  <si>
    <t>No margin agreement required</t>
  </si>
  <si>
    <t>Spreads (multi-leg; includes verticals/calendars/diagonals)</t>
  </si>
  <si>
    <t>REQ_MARGIN</t>
  </si>
  <si>
    <t>SUB_COLLATERAL:NOT_ALLOWED(NO_MARGIN_ON_PLEDGED)</t>
  </si>
  <si>
    <t>Index Options (single-leg)</t>
  </si>
  <si>
    <t>Equity Collar (long shares + covered call + long put)</t>
  </si>
  <si>
    <t>REQ_SHARES|REQ_COVERED_WRITING_APPROVAL|REQ_HEDGED_PUT_APPROVAL</t>
  </si>
  <si>
    <t>Portfolio/Index Collar (buy index put + sell index call)</t>
  </si>
  <si>
    <t>REQ_IDX_APPROVAL|REQ_UNCOVERED_APPROVAL|REQ_MARGIN</t>
  </si>
  <si>
    <t>SUB_COLLATERAL:NOT_ALLOWED(NO_MARGIN_ON_PLEDGED)|SUB_COLLATERAL:NOT_ALLOWED(NO_PLEDGED_SUPPORT)</t>
  </si>
  <si>
    <t>Covered Writing (covered calls)</t>
  </si>
  <si>
    <t>SUB_CASH_ONLY</t>
  </si>
  <si>
    <t>Retirement is cash-only</t>
  </si>
  <si>
    <t>Retirement is cash-only; secured puts allowed if properly secured</t>
  </si>
  <si>
    <t>Spreads (multi-leg)</t>
  </si>
  <si>
    <t>NOT_ALLOWED</t>
  </si>
  <si>
    <t>NO_SPREADS</t>
  </si>
  <si>
    <t>Original policy: purchasing options restricted in PMP</t>
  </si>
  <si>
    <t>Account Type</t>
  </si>
  <si>
    <t>Eligibility</t>
  </si>
  <si>
    <t>Allowed (conditional)</t>
  </si>
  <si>
    <t>Not allowed</t>
  </si>
  <si>
    <t>Fund Type</t>
  </si>
  <si>
    <t>Security Type</t>
  </si>
  <si>
    <t>Fund Leverage Type</t>
  </si>
  <si>
    <t>Fund Leverage</t>
  </si>
  <si>
    <t>Index Data Type</t>
  </si>
  <si>
    <t>Conditions</t>
  </si>
  <si>
    <t>CashEligibility</t>
  </si>
  <si>
    <t>CollateralEligibility</t>
  </si>
  <si>
    <t>CashText</t>
  </si>
  <si>
    <t>CollateralText</t>
  </si>
  <si>
    <t>SummaryEligibility</t>
  </si>
  <si>
    <t>SummaryText</t>
  </si>
  <si>
    <t>Allowed in Brokerage Cash accounts, on the condition that the client holds sufficient underlying shares.</t>
  </si>
  <si>
    <t>Allowed in Brokerage Collateral / Pledged accounts, on the condition that the client holds sufficient underlying shares.</t>
  </si>
  <si>
    <t>Allowed in Brokerage Cash accounts, on the condition that the client holds sufficient underlying shares. Allowed in Brokerage Collateral / Pledged accounts, on the condition that the client holds sufficient underlying shares.</t>
  </si>
  <si>
    <t>Allowed in Brokerage Cash accounts, on the condition that the client holds sufficient underlying shares. Firm definition: long underlying + purchase long puts only.</t>
  </si>
  <si>
    <t>Allowed in Brokerage Cash accounts, on the condition that the client holds sufficient underlying shares. Firm definition: long underlying + purchase long puts only. Allowed in Brokerage Collateral / Pledged accounts, on the condition that the client holds sufficient underlying shares.</t>
  </si>
  <si>
    <t>Allowed in Brokerage Cash accounts, on the condition that the position is secured by T-bills.</t>
  </si>
  <si>
    <t>Not allowed in Brokerage Collateral / Pledged accounts (assets are pledged; secured-put structure not supported).</t>
  </si>
  <si>
    <t>Allowed in Brokerage Cash accounts, on the condition that the position is secured by T-bills. Not allowed in Brokerage Collateral / Pledged accounts (assets are pledged; secured-put structure not supported).</t>
  </si>
  <si>
    <t>Allowed</t>
  </si>
  <si>
    <t>Allowed in Brokerage Cash accounts. No margin agreement required.</t>
  </si>
  <si>
    <t>Allowed in Brokerage Collateral / Pledged accounts. No margin agreement required.</t>
  </si>
  <si>
    <t>Allowed in Brokerage Cash accounts. No margin agreement required. Allowed in Brokerage Collateral / Pledged accounts. No margin agreement required.</t>
  </si>
  <si>
    <t>Spreads require a margin agreement; pledged/collateral accounts cannot have margin agreement</t>
  </si>
  <si>
    <t>Allowed in Brokerage Cash accounts, on the condition that a margin agreement is in place.</t>
  </si>
  <si>
    <t>Not allowed in Brokerage Collateral / Pledged accounts (pledged/collateral accounts cannot have a margin agreement).</t>
  </si>
  <si>
    <t>Allowed in Brokerage Cash accounts, on the condition that a margin agreement is in place. Not allowed in Brokerage Collateral / Pledged accounts (pledged/collateral accounts cannot have a margin agreement).</t>
  </si>
  <si>
    <t>Uncovered Short Options (unsecured short calls/puts)</t>
  </si>
  <si>
    <t>Unsecured short options require a margin agreement; pledged/collateral accounts cannot have margin agreement</t>
  </si>
  <si>
    <t>Index options not permitted in collateral / pledged accounts</t>
  </si>
  <si>
    <t>Allowed in Brokerage Cash accounts.</t>
  </si>
  <si>
    <t>Not allowed in Brokerage Collateral / Pledged accounts (index options not permitted in collateral / pledged accounts).</t>
  </si>
  <si>
    <t>Allowed in Brokerage Cash accounts. Not allowed in Brokerage Collateral / Pledged accounts (index options not permitted in collateral / pledged accounts).</t>
  </si>
  <si>
    <t>Collars permitted when covered writing and hedged puts are approved (and client holds sufficient shares)</t>
  </si>
  <si>
    <t>Index collar requires index options approval, uncovered approval, and margin; collateral accounts restrict margin and index options</t>
  </si>
  <si>
    <t>Allowed in Brokerage Cash accounts, on the condition that index options approval and uncovered approval and a margin agreement are in place.</t>
  </si>
  <si>
    <t>Not allowed in Brokerage Collateral / Pledged accounts (pledged/collateral accounts cannot have margin; index options not permitted in collateral / pledged accounts).</t>
  </si>
  <si>
    <t>Allowed in Brokerage Cash accounts, on the condition that index options approval and uncovered approval and a margin agreement are in place. Not allowed in Brokerage Collateral / Pledged accounts (pledged/collateral accounts cannot have margin; index options not permitted in collateral / pledged accounts).</t>
  </si>
  <si>
    <t>Allowed in Brokerage Retirement accounts, on the condition that the client holds sufficient underlying shares.</t>
  </si>
  <si>
    <t>Allowed in Brokerage Retirement accounts, on the condition that the position is secured by T-bills.</t>
  </si>
  <si>
    <t>Long options permitted in retirement (cash-only); spreads and uncovered not permitted</t>
  </si>
  <si>
    <t>Allowed in Brokerage Retirement accounts.</t>
  </si>
  <si>
    <t>Explicit: spreads not permitted in retirement accounts</t>
  </si>
  <si>
    <t>Not allowed in Brokerage Retirement accounts. Spreads are not permitted in retirement accounts.</t>
  </si>
  <si>
    <t>Explicit: uncovered options not permitted in retirement accounts</t>
  </si>
  <si>
    <t>Not allowed in Brokerage Retirement accounts. Uncovered options are not permitted in retirement accounts.</t>
  </si>
  <si>
    <t>Index options permitted in retirement; no spreads (and index collars not permitted)</t>
  </si>
  <si>
    <t>Allowed in Brokerage Retirement accounts, on the condition that spreads and collars are not used.</t>
  </si>
  <si>
    <t>Collars permitted when covered writing and hedged puts are approved (and client holds sufficient shares); retirement is cash-only</t>
  </si>
  <si>
    <t>Not allowed: index collars require a spread/margin component; not permitted in retirement accounts</t>
  </si>
  <si>
    <t>Not allowed in Brokerage Retirement accounts. Index collars are not permitted in retirement accounts.</t>
  </si>
  <si>
    <t>Allowed in Strategic Advisor Cash accounts, on the condition that the client holds sufficient underlying shares.</t>
  </si>
  <si>
    <t>Allowed in Strategic Advisor Collateral / Pledged accounts, on the condition that the client holds sufficient underlying shares.</t>
  </si>
  <si>
    <t>Allowed in Strategic Advisor Cash accounts, on the condition that the client holds sufficient underlying shares. Allowed in Strategic Advisor Collateral / Pledged accounts, on the condition that the client holds sufficient underlying shares.</t>
  </si>
  <si>
    <t>Allowed in Strategic Advisor Cash accounts, on the condition that the client holds sufficient underlying shares. Firm definition: long underlying + purchase long puts only.</t>
  </si>
  <si>
    <t>Allowed in Strategic Advisor Cash accounts, on the condition that the client holds sufficient underlying shares. Firm definition: long underlying + purchase long puts only. Allowed in Strategic Advisor Collateral / Pledged accounts, on the condition that the client holds sufficient underlying shares.</t>
  </si>
  <si>
    <t>Secured puts allowed only when secured by cash or T-bills; not available in collateral/pledged subtype</t>
  </si>
  <si>
    <t>Allowed in Strategic Advisor Cash accounts, on the condition that the position is secured by T-bills.</t>
  </si>
  <si>
    <t>Not allowed in Strategic Advisor Collateral / Pledged accounts (assets are pledged; secured-put structure not supported).</t>
  </si>
  <si>
    <t>Allowed in Strategic Advisor Cash accounts, on the condition that the position is secured by T-bills. Not allowed in Strategic Advisor Collateral / Pledged accounts (assets are pledged; secured-put structure not supported).</t>
  </si>
  <si>
    <t>Allowed in Strategic Advisor Cash accounts. No margin agreement required.</t>
  </si>
  <si>
    <t>Allowed in Strategic Advisor Collateral / Pledged accounts. No margin agreement required.</t>
  </si>
  <si>
    <t>Allowed in Strategic Advisor Cash accounts. No margin agreement required. Allowed in Strategic Advisor Collateral / Pledged accounts. No margin agreement required.</t>
  </si>
  <si>
    <t>Allowed in Strategic Advisor Cash accounts, on the condition that a margin agreement is in place.</t>
  </si>
  <si>
    <t>Not allowed in Strategic Advisor Collateral / Pledged accounts (pledged/collateral accounts cannot have a margin agreement).</t>
  </si>
  <si>
    <t>Allowed in Strategic Advisor Cash accounts, on the condition that a margin agreement is in place. Not allowed in Strategic Advisor Collateral / Pledged accounts (pledged/collateral accounts cannot have a margin agreement).</t>
  </si>
  <si>
    <t>Allowed in Strategic Advisor Cash accounts.</t>
  </si>
  <si>
    <t>Not allowed in Strategic Advisor Collateral / Pledged accounts (index options not permitted in collateral / pledged accounts).</t>
  </si>
  <si>
    <t>Allowed in Strategic Advisor Cash accounts. Not allowed in Strategic Advisor Collateral / Pledged accounts (index options not permitted in collateral / pledged accounts).</t>
  </si>
  <si>
    <t>Not allowed in Strategic Advisor Collateral / Pledged accounts (pledged/collateral accounts cannot have margin; index options not permitted in collateral / pledged accounts).</t>
  </si>
  <si>
    <t>Allowed in Strategic Advisor Cash accounts, on the condition that a margin agreement is in place. Not allowed in Strategic Advisor Collateral / Pledged accounts (pledged/collateral accounts cannot have margin; index options not permitted in collateral / pledged accounts).</t>
  </si>
  <si>
    <t>Allowed in PMP Cash accounts, on the condition that the client holds sufficient underlying shares.</t>
  </si>
  <si>
    <t>Allowed in PMP Collateral / Pledged accounts, on the condition that the client holds sufficient underlying shares.</t>
  </si>
  <si>
    <t>Allowed in PMP Cash accounts, on the condition that the client holds sufficient underlying shares. Allowed in PMP Collateral / Pledged accounts, on the condition that the client holds sufficient underlying shares.</t>
  </si>
  <si>
    <t>Allowed in PMP Cash accounts, on the condition that the client holds sufficient underlying shares. Firm definition: long underlying + purchase long puts only.</t>
  </si>
  <si>
    <t>Allowed in PMP Cash accounts, on the condition that the client holds sufficient underlying shares. Firm definition: long underlying + purchase long puts only. Allowed in PMP Collateral / Pledged accounts, on the condition that the client holds sufficient underlying shares.</t>
  </si>
  <si>
    <t>Allowed in PMP Cash accounts, on the condition that the position is secured by T-bills.</t>
  </si>
  <si>
    <t>Not allowed in PMP Collateral / Pledged accounts (assets are pledged; secured-put structure not supported).</t>
  </si>
  <si>
    <t>Allowed in PMP Cash accounts, on the condition that the position is secured by T-bills. Not allowed in PMP Collateral / Pledged accounts (assets are pledged; secured-put structure not supported).</t>
  </si>
  <si>
    <t>Not allowed in PMP Cash accounts. Purchasing options are restricted in PMP.</t>
  </si>
  <si>
    <t>Not allowed in PMP Collateral / Pledged accounts. Purchasing options are restricted in PMP.</t>
  </si>
  <si>
    <t>Not allowed in PMP Cash accounts. Not allowed in PMP Collateral / Pledged accounts.</t>
  </si>
  <si>
    <t>Spreads not permitted in PMP program type</t>
  </si>
  <si>
    <t>Not allowed in PMP Cash accounts. Spreads are not permitted in PMP.</t>
  </si>
  <si>
    <t>Not allowed in PMP Collateral / Pledged accounts. Spreads are not permitted in PMP.</t>
  </si>
  <si>
    <t>Unsecured short options not permitted in PMP program type</t>
  </si>
  <si>
    <t>Not allowed in PMP Cash accounts. Uncovered short options are not permitted in PMP.</t>
  </si>
  <si>
    <t>Not allowed in PMP Collateral / Pledged accounts. Uncovered short options are not permitted in PMP.</t>
  </si>
  <si>
    <t>Index options not permitted in PMP program type</t>
  </si>
  <si>
    <t>Not allowed in PMP Cash accounts. Index options are not permitted in PMP.</t>
  </si>
  <si>
    <t>Not allowed in PMP Collateral / Pledged accounts. Index options are not permitted in PMP.</t>
  </si>
  <si>
    <t>Allowed in PMP Cash accounts, on the condition that the client holds sufficient underlying shares and covered writing and hedged puts are approved.</t>
  </si>
  <si>
    <t>Allowed in PMP Collateral / Pledged accounts, on the condition that the client holds sufficient underlying shares and covered writing and hedged puts are approved.</t>
  </si>
  <si>
    <t>Allowed in PMP Cash accounts, on the condition that the client holds sufficient underlying shares and covered writing and hedged puts are approved. Allowed in PMP Collateral / Pledged accounts, on the condition that the client holds sufficient underlying shares and covered writing and hedged puts are approved.</t>
  </si>
  <si>
    <t>Not allowed: index collars require index options capability; index options not permitted in PMP</t>
  </si>
  <si>
    <t>Not allowed in PMP Cash accounts. Index collars are not permitted in PMP.</t>
  </si>
  <si>
    <t>Not allowed in PMP Collateral / Pledged accounts. Index collars are not permitted in PMP.</t>
  </si>
  <si>
    <t>AccountType</t>
  </si>
  <si>
    <t>Brokerage</t>
  </si>
  <si>
    <t>Brokerage Retirement</t>
  </si>
  <si>
    <t>Strategic Advisor</t>
  </si>
  <si>
    <t>PMP</t>
  </si>
  <si>
    <t>RecordType</t>
  </si>
  <si>
    <t>StrategyCode</t>
  </si>
  <si>
    <t>OptionType</t>
  </si>
  <si>
    <t>RequirementStage</t>
  </si>
  <si>
    <t>RequirementText</t>
  </si>
  <si>
    <t>FormulaCode</t>
  </si>
  <si>
    <t>FormulaTemplate</t>
  </si>
  <si>
    <t>FormulaVars</t>
  </si>
  <si>
    <t>MARGIN_RULE</t>
  </si>
  <si>
    <t>LNG_LE_9M</t>
  </si>
  <si>
    <t>Long options (&lt;=9 months)</t>
  </si>
  <si>
    <t>Equity; ETF; ETN; narrow-based index; broad-based index; volatility index (listed options)</t>
  </si>
  <si>
    <t>CASH</t>
  </si>
  <si>
    <t>INITIAL</t>
  </si>
  <si>
    <t>Must be fully paid (100% premium).</t>
  </si>
  <si>
    <t>LONG|PAID_IN_FULL|EXP_LE_9M</t>
  </si>
  <si>
    <t>F_LONG_PREMIUM_FULL</t>
  </si>
  <si>
    <t>LongPremiumPaid</t>
  </si>
  <si>
    <t>MARGIN</t>
  </si>
  <si>
    <t>No additional cash beyond premium cost required.</t>
  </si>
  <si>
    <t>MAINTENANCE</t>
  </si>
  <si>
    <t>No margin/loan value (margin requirement = 0).</t>
  </si>
  <si>
    <t>LONG|NO_LOAN_VALUE|EXP_LE_9M</t>
  </si>
  <si>
    <t>Long options do not provide loan value in a margin account once &lt;= 9 months to expiration.</t>
  </si>
  <si>
    <t>F_LONG_NO_LOAN_VALUE</t>
  </si>
  <si>
    <t>LNG_GT_9M</t>
  </si>
  <si>
    <t>Long options (&gt;9 months) - cash account</t>
  </si>
  <si>
    <t>All option types (cash account purchase permitted; margin eligibility limits apply only to margin accounts)</t>
  </si>
  <si>
    <t>LONG|PAID_IN_FULL|EXP_GT_9M</t>
  </si>
  <si>
    <t>LNG_GT_9M_LISTED</t>
  </si>
  <si>
    <t>Long options (&gt;9 months) - listed</t>
  </si>
  <si>
    <t>Equity; ETF; equity-based narrow/broad index; volatility index (listed options only; ETF/index must be equity-based)</t>
  </si>
  <si>
    <t>Initial = 75% of premium (purchase cost).</t>
  </si>
  <si>
    <t>LONG|LISTED|EXP_GT_9M</t>
  </si>
  <si>
    <t>Option ceases to have margin value once time to expiry reaches 9 months.</t>
  </si>
  <si>
    <t>F_LONG_LISTED_GT9M_INIT</t>
  </si>
  <si>
    <t>0.75*LongPremiumPaid</t>
  </si>
  <si>
    <t>Maintenance = 75% of current option market value.</t>
  </si>
  <si>
    <t>LONG|LISTED|EXP_GT_9M|USE_MARKET_VALUE</t>
  </si>
  <si>
    <t>F_LONG_LISTED_GT9M_MAINT</t>
  </si>
  <si>
    <t>0.75*OptionMarketValue</t>
  </si>
  <si>
    <t>OptionMarketValue</t>
  </si>
  <si>
    <t>LNG_GT_9M_OTC</t>
  </si>
  <si>
    <t>Long options (&gt;9 months) - OTC</t>
  </si>
  <si>
    <t>Equity; ETF; equity-based narrow/broad index; volatility index (OTC; ETF/index must be equity-based)</t>
  </si>
  <si>
    <t>Initial = 75% * intrinsic value + 100% * (premium - intrinsic). If intrinsic is 0, must be fully paid.</t>
  </si>
  <si>
    <t>LONG|OTC|EXP_GT_9M</t>
  </si>
  <si>
    <t>OTC option must be American-style and guaranteed by carrying broker-dealer. Option ceases to have margin value once time to expiry reaches 9 months.</t>
  </si>
  <si>
    <t>F_LONG_OTC_GT9M_INIT</t>
  </si>
  <si>
    <t>IF(IntrinsicValue=0,LongPremiumPaid,LongPremiumPaid-0.25*IntrinsicValue)</t>
  </si>
  <si>
    <t>LongPremiumPaid;IntrinsicValue</t>
  </si>
  <si>
    <t>Maintenance = 75% * intrinsic value (no loan value otherwise).</t>
  </si>
  <si>
    <t>F_LONG_OTC_GT9M_MAINT</t>
  </si>
  <si>
    <t>0.75*IntrinsicValue</t>
  </si>
  <si>
    <t>IntrinsicValue</t>
  </si>
  <si>
    <t>SH_OPT</t>
  </si>
  <si>
    <t>Short options - equity/narrow/vol</t>
  </si>
  <si>
    <t>Equity; ETF; ETN tracking a narrow-based index; ETN tracking a broad-based index; narrow-based index; volatility index</t>
  </si>
  <si>
    <t>Put: hold cash/cash equivalents = aggregate strike value OR escrow. Call: hold underlying OR escrow.</t>
  </si>
  <si>
    <t>SHORT|CASH_OR_ESCROW_REQUIRED</t>
  </si>
  <si>
    <t>Sale proceeds held until deposit made.</t>
  </si>
  <si>
    <t>F_MANUAL_TEXT</t>
  </si>
  <si>
    <t>Initial = option proceeds + max( 20%*UnderlyingValue - OTM , Minimum ). Minimum for calls = 10%*UnderlyingValue; minimum for puts = 10%*StrikeValue.</t>
  </si>
  <si>
    <t>SHORT|FORMULA_20PCT_10PCT</t>
  </si>
  <si>
    <t>OTM = out-of-the-money amount. For puts, minimum uses strike value.</t>
  </si>
  <si>
    <t>F_SHORT_EQ_INIT</t>
  </si>
  <si>
    <t>OptionProceeds + MAX((0.20*UnderlyingValue)-OTMValue, IF(IsPut, 0.10*StrikeAggregate, 0.10*UnderlyingValue))</t>
  </si>
  <si>
    <t>OptionProceeds;UnderlyingValue;OTMValue;IsPut;StrikeAggregate</t>
  </si>
  <si>
    <t>Maintenance = option market value + max( 20%*UnderlyingValue - OTM , Minimum ). Minimum for calls = 10%*UnderlyingValue; minimum for puts = 10%*StrikeValue.</t>
  </si>
  <si>
    <t>SHORT|FORMULA_20PCT_10PCT|USE_MARKET_VALUE</t>
  </si>
  <si>
    <t>F_SHORT_EQ_MAINT</t>
  </si>
  <si>
    <t>OptionMarketValue + MAX((0.20*UnderlyingValue)-OTMValue, IF(IsPut, 0.10*StrikeAggregate, 0.10*UnderlyingValue))</t>
  </si>
  <si>
    <t>OptionMarketValue;UnderlyingValue;OTMValue;IsPut;StrikeAggregate</t>
  </si>
  <si>
    <t>SH_OPT_LEV</t>
  </si>
  <si>
    <t>Short options - leveraged</t>
  </si>
  <si>
    <t>Leveraged ETF (narrow-based); leveraged ETN tracking a broad-based index</t>
  </si>
  <si>
    <t>Same as SH_OPT but multiply the 20% and 10% factors by leverage factor.</t>
  </si>
  <si>
    <t>SHORT|LEVERAGE_FACTOR_APPLIES</t>
  </si>
  <si>
    <t>Circular RG09-097 referenced for heightened requirements.</t>
  </si>
  <si>
    <t>F_SHORT_EQ_LEV_INIT</t>
  </si>
  <si>
    <t>OptionProceeds + MAX(((0.20*LeverageFactor)*UnderlyingValue)-OTMValue, IF(IsPut, (0.10*LeverageFactor)*StrikeAggregate, (0.10*LeverageFactor)*UnderlyingValue))</t>
  </si>
  <si>
    <t>OptionProceeds;UnderlyingValue;OTMValue;IsPut;StrikeAggregate;LeverageFactor</t>
  </si>
  <si>
    <t>Same as SH_OPT maintenance but multiply the 20% and 10% factors by leverage factor.</t>
  </si>
  <si>
    <t>SHORT|LEVERAGE_FACTOR_APPLIES|USE_MARKET_VALUE</t>
  </si>
  <si>
    <t>F_SHORT_EQ_LEV_MAINT</t>
  </si>
  <si>
    <t>OptionMarketValue + MAX(((0.20*LeverageFactor)*UnderlyingValue)-OTMValue, IF(IsPut, (0.10*LeverageFactor)*StrikeAggregate, (0.10*LeverageFactor)*UnderlyingValue))</t>
  </si>
  <si>
    <t>OptionMarketValue;UnderlyingValue;OTMValue;IsPut;StrikeAggregate;LeverageFactor</t>
  </si>
  <si>
    <t>SH_OPT_BROAD</t>
  </si>
  <si>
    <t>Short options - broad index</t>
  </si>
  <si>
    <t>ETF tracking a broad-based index; broad-based index</t>
  </si>
  <si>
    <t>Put: hold cash/cash equivalents = aggregate strike value OR escrow. Call: escrow.</t>
  </si>
  <si>
    <t>Initial = option proceeds + max( 15%*IndexValue - OTM , Minimum ). Minimum for calls = 10%*IndexValue; minimum for puts = 10%*StrikeValue.</t>
  </si>
  <si>
    <t>SHORT|FORMULA_15PCT_10PCT</t>
  </si>
  <si>
    <t>F_SHORT_BROAD_INIT</t>
  </si>
  <si>
    <t>OptionProceeds + MAX((0.15*IndexValue)-OTMValue, IF(IsPut, 0.10*StrikeAggregate, 0.10*IndexValue))</t>
  </si>
  <si>
    <t>OptionProceeds;IndexValue;OTMValue;IsPut;StrikeAggregate</t>
  </si>
  <si>
    <t>Maintenance = option market value + max( 15%*IndexValue - OTM , Minimum ). Minimum for calls = 10%*IndexValue; minimum for puts = 10%*StrikeValue.</t>
  </si>
  <si>
    <t>SHORT|FORMULA_15PCT_10PCT|USE_MARKET_VALUE</t>
  </si>
  <si>
    <t>F_SHORT_BROAD_MAINT</t>
  </si>
  <si>
    <t>OptionMarketValue + MAX((0.15*IndexValue)-OTMValue, IF(IsPut, 0.10*StrikeAggregate, 0.10*IndexValue))</t>
  </si>
  <si>
    <t>OptionMarketValue;IndexValue;OTMValue;IsPut;StrikeAggregate</t>
  </si>
  <si>
    <t>SH_OPT_BROAD_LEV</t>
  </si>
  <si>
    <t>Short options - leveraged broad index</t>
  </si>
  <si>
    <t>Leveraged ETF tracking a broad-based index</t>
  </si>
  <si>
    <t>Same as SH_OPT_BROAD but multiply the 15% and 10% factors by leverage factor.</t>
  </si>
  <si>
    <t>SHORT|LEVERAGE_FACTOR_APPLIES|FORMULA_15PCT_10PCT</t>
  </si>
  <si>
    <t>F_SHORT_BROAD_LEV_INIT</t>
  </si>
  <si>
    <t>OptionProceeds + MAX(((0.15*LeverageFactor)*IndexValue)-OTMValue, IF(IsPut, (0.10*LeverageFactor)*StrikeAggregate, (0.10*LeverageFactor)*IndexValue))</t>
  </si>
  <si>
    <t>OptionProceeds;IndexValue;OTMValue;IsPut;StrikeAggregate;LeverageFactor</t>
  </si>
  <si>
    <t>Same as SH_OPT_BROAD maintenance but multiply the 15% and 10% factors by leverage factor.</t>
  </si>
  <si>
    <t>SHORT|LEVERAGE_FACTOR_APPLIES|FORMULA_15PCT_10PCT|USE_MARKET_VALUE</t>
  </si>
  <si>
    <t>F_SHORT_BROAD_LEV_MAINT</t>
  </si>
  <si>
    <t>OptionMarketValue + MAX(((0.15*LeverageFactor)*IndexValue)-OTMValue, IF(IsPut, (0.10*LeverageFactor)*StrikeAggregate, (0.10*LeverageFactor)*IndexValue))</t>
  </si>
  <si>
    <t>OptionMarketValue;IndexValue;OTMValue;IsPut;StrikeAggregate;LeverageFactor</t>
  </si>
  <si>
    <t>SH_PUT_CALL</t>
  </si>
  <si>
    <t>Short straddle/strangle (same underlying)</t>
  </si>
  <si>
    <t>Escrow required for each short option leg.</t>
  </si>
  <si>
    <t>STRADDLE|ESCROW_PER_OPTION</t>
  </si>
  <si>
    <t>Initial = greater(short put requirement, short call requirement) + proceeds of the other leg (same underlying; same index multiplier if index).</t>
  </si>
  <si>
    <t>STRADDLE|GREATER_SIDE_PLUS_OTHER_PROCEEDS</t>
  </si>
  <si>
    <t>Compute ShortPutRequirement and ShortCallRequirement per the applicable short option family (20% or 15%).</t>
  </si>
  <si>
    <t>F_STRADDLE_INIT</t>
  </si>
  <si>
    <t>MAX(ShortPutRequirement, ShortCallRequirement) + OtherLegOptionProceeds</t>
  </si>
  <si>
    <t>ShortPutRequirement;ShortCallRequirement;OtherLegOptionProceeds</t>
  </si>
  <si>
    <t>Maintenance = greater(short put requirement, short call requirement) + market value of the other leg.</t>
  </si>
  <si>
    <t>STRADDLE|GREATER_SIDE_PLUS_OTHER_MARKET_VALUE|USE_MARKET_VALUE</t>
  </si>
  <si>
    <t>Compute ShortPutRequirement and ShortCallRequirement per the applicable short option family (20% or 15%), using current option market value for the uncovered side.</t>
  </si>
  <si>
    <t>F_STRADDLE_MAINT</t>
  </si>
  <si>
    <t>MAX(ShortPutRequirement, ShortCallRequirement) + OtherLegOptionMarketValue</t>
  </si>
  <si>
    <t>ShortPutRequirement;ShortCallRequirement;OtherLegOptionMarketValue</t>
  </si>
  <si>
    <t>SPR</t>
  </si>
  <si>
    <t>Vertical/limited-risk spreads (standard)</t>
  </si>
  <si>
    <t>All listed option types (listed or OTC if spread conditions met)</t>
  </si>
  <si>
    <t>If spread meets conditions (same underlying; all American or all European; all listed or all OTC; equal aggregate underlying; short expires on/before long): Initial = lesser of (short-leg requirement, MaxPotentialLoss). Long legs must be fully paid; short proceeds may apply.</t>
  </si>
  <si>
    <t>SPREAD|CONDITIONS_REQUIRED|LESSER_OF_SHORT_REQ_OR_MPL</t>
  </si>
  <si>
    <t>Cash account spreads restricted to European cash-settled index options with same expiration.</t>
  </si>
  <si>
    <t>F_SPREAD_MARGIN</t>
  </si>
  <si>
    <t>LongPremiumPaid + MIN(ShortLegRequirement, MaxPotentialLoss)</t>
  </si>
  <si>
    <t>LongPremiumPaid;ShortLegRequirement;MaxPotentialLoss</t>
  </si>
  <si>
    <t>Maintain initial requirement.</t>
  </si>
  <si>
    <t>SPREAD|MAINTAIN_INITIAL</t>
  </si>
  <si>
    <t>Vertical/limited-risk spreads (cash-account permitted subset)</t>
  </si>
  <si>
    <t>European, cash-settled index options (all legs expire same time)</t>
  </si>
  <si>
    <t>Cash/cash equivalents = MaxPotentialLoss (if any). Long legs fully paid; short proceeds may apply; escrow for cash/cash equivalents permitted.</t>
  </si>
  <si>
    <t>SPREAD|CASH_ONLY_EUROPEAN_CASH_SETTLED_SAME_EXP|MPL</t>
  </si>
  <si>
    <t>F_SPREAD_CASH</t>
  </si>
  <si>
    <t>LongPremiumPaid + MaxPotentialLoss</t>
  </si>
  <si>
    <t>LongPremiumPaid;MaxPotentialLoss</t>
  </si>
  <si>
    <t>Long box spread</t>
  </si>
  <si>
    <t>All listed option types</t>
  </si>
  <si>
    <t>Initial = MaxPotentialLoss; long legs fully paid; short proceeds may apply. Exception: if all legs European and same expiration, eligible loan value up to 50% of aggregate strike differential; box value for margin may be capped at 100% of strike differential.</t>
  </si>
  <si>
    <t>BOX|MPL|EUROPEAN_LOAN_VALUE_EXCEPTION</t>
  </si>
  <si>
    <t>If LoanValueEligible, FormulaTemplate returns eligible loan value (not a debit/credit net).</t>
  </si>
  <si>
    <t>F_BOX_LONG_MARGIN</t>
  </si>
  <si>
    <t>IF(LoanValueEligible, 0.50*StrikeDiffAggregate, LongPremiumPaid + MaxPotentialLoss)</t>
  </si>
  <si>
    <t>LoanValueEligible;StrikeDiffAggregate;LongPremiumPaid;MaxPotentialLoss</t>
  </si>
  <si>
    <t>BOX|MAINTAIN_INITIAL</t>
  </si>
  <si>
    <t>If LoanValueEligible, maintain eligible loan value; otherwise maintain LongPremiumPaid + MaxPotentialLoss.</t>
  </si>
  <si>
    <t>Long box spread (cash-account permitted subset)</t>
  </si>
  <si>
    <t>European cash-settled index options (all legs expire same time)</t>
  </si>
  <si>
    <t>Net debit must be fully paid (long sides paid in full; short proceeds may reduce debit).</t>
  </si>
  <si>
    <t>BOX|CASH_ONLY_EUROPEAN_CASH_SETTLED_SAME_EXP|NET_DEBIT_PAID_FULL</t>
  </si>
  <si>
    <t>F_BOX_LONG_CASH</t>
  </si>
  <si>
    <t>NetDebit</t>
  </si>
  <si>
    <t>Short box spread</t>
  </si>
  <si>
    <t>Initial = MaxPotentialLoss; long legs fully paid; short proceeds may apply.</t>
  </si>
  <si>
    <t>BOX|MPL</t>
  </si>
  <si>
    <t>MaxPotentialLoss computed per MPL method for a 4-leg box is typically the strike differential.</t>
  </si>
  <si>
    <t>F_BOX_SHORT_MARGIN</t>
  </si>
  <si>
    <t>Short box spread (cash-account permitted subset)</t>
  </si>
  <si>
    <t>Hold cash/cash equivalents = aggregate strike differential (short proceeds may apply; escrow permitted).</t>
  </si>
  <si>
    <t>BOX|CASH_ONLY_EUROPEAN_CASH_SETTLED_SAME_EXP|CASH_EQUIV_EQUAL_STRIKE_DIFF</t>
  </si>
  <si>
    <t>F_BOX_SHORT_CASH</t>
  </si>
  <si>
    <t>StrikeDiffAggregate</t>
  </si>
  <si>
    <t>SH_PUT_SH_UND</t>
  </si>
  <si>
    <t>Short underlying + short put</t>
  </si>
  <si>
    <t>Equity/ETF/ETN; equity-based index via qualified basket</t>
  </si>
  <si>
    <t>Not permitted in cash accounts.</t>
  </si>
  <si>
    <t>NOT_PERMITTED_IN_CASH</t>
  </si>
  <si>
    <t>Short put has 0 additional requirement; short underlying is margined as normal short sale (Reg T: proceeds + 50% of current value).</t>
  </si>
  <si>
    <t>SHORT_STOCK_HEDGE|NO_EXTRA_ON_SHORT_PUT|REGT_SHORT_SALE</t>
  </si>
  <si>
    <t>Any amount by which put strike exceeds market adds to initial for excess Reg T equity test.</t>
  </si>
  <si>
    <t>F_SHORT_STOCK_WITH_SHORT_PUT_INIT</t>
  </si>
  <si>
    <t>ShortStockInitial</t>
  </si>
  <si>
    <t>Short put has 0 additional requirement; short underlying maintenance = normal short-stock requirement, plus add-on for (put strike - market) if positive.</t>
  </si>
  <si>
    <t>SHORT_STOCK_HEDGE|NO_EXTRA_ON_SHORT_PUT</t>
  </si>
  <si>
    <t>Normal short-stock maintenance add-on is typically max($5/share, 30% of market value) for stocks &gt;= $5/share; low-price stock rules apply.</t>
  </si>
  <si>
    <t>F_SHORT_STOCK_WITH_SHORT_PUT_MAINT</t>
  </si>
  <si>
    <t>ShortStockMaintenance + MAX(0,(PutStrike-UnderlyingPrice))*Contracts*Multiplier</t>
  </si>
  <si>
    <t>ShortStockMaintenance;PutStrike;UnderlyingPrice;Contracts;Multiplier</t>
  </si>
  <si>
    <t>CCOV</t>
  </si>
  <si>
    <t>Covered call (long underlying + short call)</t>
  </si>
  <si>
    <t>Equity/ETF/ETN</t>
  </si>
  <si>
    <t>Underlying must be fully paid; short call has 0 margin requirement.</t>
  </si>
  <si>
    <t>F_COVERED_CALL_CASH</t>
  </si>
  <si>
    <t>UnderlyingMarketValue</t>
  </si>
  <si>
    <t>Covered index call via qualified stock basket (cash)</t>
  </si>
  <si>
    <t>Equity-based index via qualified basket</t>
  </si>
  <si>
    <t>NOT_PERMITTED_IN_CASH|INDEX_BASKET_COVER</t>
  </si>
  <si>
    <t>Index covered call via qualified basket is margin-only per schedule.</t>
  </si>
  <si>
    <t>Short call has 0 requirement; long underlying margined at 50% (Reg T).</t>
  </si>
  <si>
    <t>COVERED_CALL|REGT_50PCT</t>
  </si>
  <si>
    <t>If using qualified index basket coverage, basket must be based on same index and basket market value must be at least equal to aggregate current index value.</t>
  </si>
  <si>
    <t>F_COVERED_CALL_INIT</t>
  </si>
  <si>
    <t>0.50*UnderlyingMarketValue</t>
  </si>
  <si>
    <t>Short call has 0 requirement; underlying maintenance = 25% of underlying market value.</t>
  </si>
  <si>
    <t>COVERED_CALL|MAINT_25PCT</t>
  </si>
  <si>
    <t>For margin equity/loan-value purposes, underlying may be valued at min(market, call strike). Keep equity-valuation cap separate from the maintenance requirement calculation.</t>
  </si>
  <si>
    <t>F_COVERED_CALL_MAINT</t>
  </si>
  <si>
    <t>0.25*UnderlyingMarketValue</t>
  </si>
  <si>
    <t>SH_IDX_CALL_LNG_ETF</t>
  </si>
  <si>
    <t>Covered index call via long ETF</t>
  </si>
  <si>
    <t>Narrow/broad index options (long ETF tracks same index)</t>
  </si>
  <si>
    <t>Short call has 0 requirement if ETF tracks same index and ETF market value &gt;= aggregate current index value; ETF margined at 50%. ETNs/leveraged ETFs/leveraged index mutual funds not permitted.</t>
  </si>
  <si>
    <t>COVERED_INDEX_CALL_WITH_ETF|REGT_50PCT</t>
  </si>
  <si>
    <t>F_COVERED_INDEX_CALL_ETF_INIT</t>
  </si>
  <si>
    <t>0.50*ETFMarketValue</t>
  </si>
  <si>
    <t>ETFMarketValue</t>
  </si>
  <si>
    <t>Short call has 0 requirement; ETF maintenance = 25% of ETF market value.</t>
  </si>
  <si>
    <t>COVERED_INDEX_CALL_WITH_ETF|MAINT_25PCT</t>
  </si>
  <si>
    <t>For margin equity/loan-value purposes, ETF may be valued at min(market, call strike-equivalent). Keep equity-valuation cap separate from the maintenance requirement calculation.</t>
  </si>
  <si>
    <t>F_COVERED_INDEX_CALL_ETF_MAINT</t>
  </si>
  <si>
    <t>0.25*ETFMarketValue</t>
  </si>
  <si>
    <t>SH_CALL_CONV</t>
  </si>
  <si>
    <t>Short call + long marginable convertible</t>
  </si>
  <si>
    <t>Equity</t>
  </si>
  <si>
    <t>Convertible must be fully paid; short call has 0 requirement.</t>
  </si>
  <si>
    <t>CONVERTIBLE_COVER|PAID_IN_FULL</t>
  </si>
  <si>
    <t>Convertible must be immediately convertible, no money payable, and convertible must not expire before short call.</t>
  </si>
  <si>
    <t>F_CONVERTIBLE_COVER_CASH</t>
  </si>
  <si>
    <t>ConvertibleMarketValue</t>
  </si>
  <si>
    <t>Short call has 0 requirement; convertible margined at 50% if immediately convertible, no money payable, and convertible does not expire before short call.</t>
  </si>
  <si>
    <t>CONVERTIBLE_COVER|REGT_50PCT</t>
  </si>
  <si>
    <t>F_CONVERTIBLE_COVER_INIT</t>
  </si>
  <si>
    <t>0.50*ConvertibleMarketValue</t>
  </si>
  <si>
    <t>Short call has 0 requirement; convertible maintenance = 25% of convertible market value.</t>
  </si>
  <si>
    <t>CONVERTIBLE_COVER|MAINT_25PCT</t>
  </si>
  <si>
    <t>For margin equity/loan-value purposes, convertible may be valued at min(market, call strike). Keep equity-valuation cap separate from the maintenance requirement calculation.</t>
  </si>
  <si>
    <t>F_CONVERTIBLE_COVER_MAINT</t>
  </si>
  <si>
    <t>0.25*ConvertibleMarketValue</t>
  </si>
  <si>
    <t>SH_CALL_WAR</t>
  </si>
  <si>
    <t>Short call + long marginable warrant</t>
  </si>
  <si>
    <t>Short call has 0 requirement; warrant requires 100% (no loan value) + add-on if warrant exercise price &gt; option strike; warrant cannot expire before short call.</t>
  </si>
  <si>
    <t>WARRANT_COVER|NO_LOAN_VALUE|ADD_EXERCISE_OVER_STRIKE</t>
  </si>
  <si>
    <t>F_WARRANT_COVER_INIT</t>
  </si>
  <si>
    <t>WarrantMarketValue + MAX(0,(WarrantExercisePrice-OptionStrike))*Contracts*Multiplier</t>
  </si>
  <si>
    <t>WarrantMarketValue;WarrantExercisePrice;OptionStrike;Contracts;Multiplier</t>
  </si>
  <si>
    <t>Same as initial; warrants valued at the lower of current market value or call exercise price.</t>
  </si>
  <si>
    <t>WARRANT_COVER|NO_LOAN_VALUE|VALUE_LOWER_OF_MKT_OR_CALL_EXERCISE</t>
  </si>
  <si>
    <t>F_WARRANT_COVER_MAINT</t>
  </si>
  <si>
    <t>WarrantValueCapped + MAX(0,(WarrantExercisePrice-OptionStrike))*Contracts*Multiplier</t>
  </si>
  <si>
    <t>WarrantValueCapped;WarrantExercisePrice;OptionStrike;Contracts;Multiplier</t>
  </si>
  <si>
    <t>PPRT</t>
  </si>
  <si>
    <t>Protective put (long underlying + long put)</t>
  </si>
  <si>
    <t>Pay for underlying and long put in full (net debit must be fully paid).</t>
  </si>
  <si>
    <t>PROTECTIVE_PUT|PAID_IN_FULL</t>
  </si>
  <si>
    <t>Cash-account establishment assumes both legs opened concurrently; if underlying is already fully paid, incremental cash is the long put premium.</t>
  </si>
  <si>
    <t>F_PROTECTIVE_PUT_CASH</t>
  </si>
  <si>
    <t>UnderlyingMarketValue + LongPutPremiumPaid</t>
  </si>
  <si>
    <t>UnderlyingMarketValue;LongPutPremiumPaid</t>
  </si>
  <si>
    <t>Pay for long put in full; underlying margined at 50% (Reg T).</t>
  </si>
  <si>
    <t>PROTECTIVE_PUT|REGT_50PCT|NO_LOAN_VALUE</t>
  </si>
  <si>
    <t>Reduced maintenance treatment requires American-style put.</t>
  </si>
  <si>
    <t>F_PROTECTIVE_PUT_INIT</t>
  </si>
  <si>
    <t>LongPutPremiumPaid + 0.50*UnderlyingMarketValue</t>
  </si>
  <si>
    <t>LongPutPremiumPaid;UnderlyingMarketValue</t>
  </si>
  <si>
    <t>Underlying maintenance = min( 10%*PutStrike + 100%*PutOTM , 25%*UnderlyingMarketValue ). Long put must be paid in full; must be American-style for reduced maintenance.</t>
  </si>
  <si>
    <t>HEDGED_UNDERLYING|AMERICAN_REQUIRED|NO_LOAN_VALUE</t>
  </si>
  <si>
    <t>F_PROTECTIVE_PUT_MAINT</t>
  </si>
  <si>
    <t>MIN((0.10*PutStrikeAggregate)+PutOTMValue, 0.25*UnderlyingMarketValue)</t>
  </si>
  <si>
    <t>PutStrikeAggregate;PutOTMValue;UnderlyingMarketValue</t>
  </si>
  <si>
    <t>LNG_CALL_SH_UND</t>
  </si>
  <si>
    <t>Hedged short stock (short underlying + long call)</t>
  </si>
  <si>
    <t>Pay for long call in full; short underlying margined as normal short sale (Reg T: proceeds + 50% of current value).</t>
  </si>
  <si>
    <t>HEDGED_UNDERLYING|REGT_SHORT_SALE|NO_LOAN_VALUE</t>
  </si>
  <si>
    <t>Reduced maintenance treatment requires American-style call.</t>
  </si>
  <si>
    <t>F_HEDGED_SHORT_STOCK_LONG_CALL_INIT</t>
  </si>
  <si>
    <t>LongPremiumPaid + ShortStockInitial</t>
  </si>
  <si>
    <t>LongPremiumPaid;ShortStockInitial</t>
  </si>
  <si>
    <t>Short underlying maintenance = lower of (hedged short-stock formula, normal short-stock maintenance). Long call must be paid in full; must be American-style for reduced maintenance.</t>
  </si>
  <si>
    <t>Hedged formula (as shown in examples) uses 110%*call strike plus any call OTM amount; compare to normal short-stock maintenance requirement. Also requires maintaining 100% of short security market value at all times.</t>
  </si>
  <si>
    <t>F_HEDGED_SHORT_STOCK_LONG_CALL_MAINT</t>
  </si>
  <si>
    <t>MIN((1.10*CallStrikeAggregate)+CallOTMValue, ShortStockMaintenance)</t>
  </si>
  <si>
    <t>CallStrikeAggregate;CallOTMValue;ShortStockMaintenance</t>
  </si>
  <si>
    <t>CONV</t>
  </si>
  <si>
    <t>Conversion (long underlying + long put + short call)</t>
  </si>
  <si>
    <t>Pay for underlying and long put in full (net debit must be fully paid); short call has 0 requirement.</t>
  </si>
  <si>
    <t>CONVERSION|PAID_IN_FULL</t>
  </si>
  <si>
    <t>Cash-account establishment assumes both long legs opened concurrently; if underlying is already fully paid, incremental cash is the long put premium (net of short call proceeds).</t>
  </si>
  <si>
    <t>F_CONVERSION_CASH</t>
  </si>
  <si>
    <t>Pay for long put in full; short call has 0 requirement; underlying margined at 50% (Reg T).</t>
  </si>
  <si>
    <t>CONVERSION|REGT_50PCT|NO_LOAN_VALUE</t>
  </si>
  <si>
    <t>Reduced maintenance treatment requires American-style options with same strike/expiration for call and put.</t>
  </si>
  <si>
    <t>F_CONVERSION_INIT</t>
  </si>
  <si>
    <t>Underlying maintenance = 10%*Strike (same strike/expiry for put and call; American-style required). Long option paid in full; no loan value.</t>
  </si>
  <si>
    <t>F_CONVERSION_MAINT</t>
  </si>
  <si>
    <t>0.10*StrikeAggregate</t>
  </si>
  <si>
    <t>StrikeAggregate</t>
  </si>
  <si>
    <t>REVCONV</t>
  </si>
  <si>
    <t>Reverse conversion (short underlying + long call + short put)</t>
  </si>
  <si>
    <t>Standard Reg T: Pay for long call in full; short put has 0 requirement; short underlying margined as normal short sale (proceeds + 50% of current value).</t>
  </si>
  <si>
    <t>REVERSE_CONVERSION|REGT_SHORT_SALE|NO_LOAN_VALUE</t>
  </si>
  <si>
    <t>If (call is American-style) AND (strike &lt; underlying sale price), reduced Reg T may apply (separate rule row).</t>
  </si>
  <si>
    <t>F_REVERSE_CONVERSION_INIT_STD</t>
  </si>
  <si>
    <t>LongCallPremiumPaid + ShortStockInitial</t>
  </si>
  <si>
    <t>LongCallPremiumPaid;ShortStockInitial</t>
  </si>
  <si>
    <t>Reverse conversion (short underlying + long call + short put) - reduced initial case</t>
  </si>
  <si>
    <t>Reduced Reg T (conditional): Pay for long call in full; short put has 0 requirement; short underlying requirement = short sale proceeds + 10%*Strike.</t>
  </si>
  <si>
    <t>REVERSE_CONVERSION|REGT_REDUCED_10PCT_STRIKE|AMERICAN_REQUIRED|CONDITIONAL_STRIKE_LT_SALE</t>
  </si>
  <si>
    <t>Applies only if call is American-style AND strike &lt; underlying sale price (per schedule).</t>
  </si>
  <si>
    <t>F_REVERSE_CONVERSION_INIT_REDUCED</t>
  </si>
  <si>
    <t>LongCallPremiumPaid + ShortSaleProceeds + (0.10*StrikeAggregate)</t>
  </si>
  <si>
    <t>LongCallPremiumPaid;ShortSaleProceeds;StrikeAggregate</t>
  </si>
  <si>
    <t>Short underlying maintenance = 110%*Strike, plus any put in-the-money amount (if Strike &gt; market). Options must share strike/expiry; American-style required; long call paid in full; no loan value.</t>
  </si>
  <si>
    <t>Also requires maintaining 100% of short security market value at all times. If not American-style, fall back to 'Short Put and Short Underlying' requirements.</t>
  </si>
  <si>
    <t>F_REVERSE_CONVERSION_MAINT</t>
  </si>
  <si>
    <t>(1.10*StrikeAggregate) + PutITMValue</t>
  </si>
  <si>
    <t>StrikeAggregate;PutITMValue</t>
  </si>
  <si>
    <t>COL_EQ</t>
  </si>
  <si>
    <t>Collar (long underlying + long put + short call; put strike &lt; call strike)</t>
  </si>
  <si>
    <t>COLLAR|PAID_IN_FULL</t>
  </si>
  <si>
    <t>Cash-account establishment assumes both long legs opened concurrently; if underlying is already fully paid, incremental cash is long put premium (net of short call proceeds).</t>
  </si>
  <si>
    <t>F_COLLAR_CASH</t>
  </si>
  <si>
    <t>COLLAR|REGT_50PCT|NO_LOAN_VALUE</t>
  </si>
  <si>
    <t>Reduced maintenance treatment requires American-style options and same expiration for put and call.</t>
  </si>
  <si>
    <t>F_COLLAR_INIT</t>
  </si>
  <si>
    <t>Underlying maintenance = min( 10%*PutStrike + PutOTM , 25%*CallStrike ). Options must share expiry; American-style required; long put paid in full; no loan value.</t>
  </si>
  <si>
    <t>F_COLLAR_MAINT</t>
  </si>
  <si>
    <t>MIN((0.10*PutStrikeAggregate)+PutOTMValue, 0.25*CallStrikeAggregate)</t>
  </si>
  <si>
    <t>PutStrikeAggregate;PutOTMValue;CallStrikeAggregate</t>
  </si>
  <si>
    <t>SPR_FLEX</t>
  </si>
  <si>
    <t>FLEX spread (equity/ETF/ETN)</t>
  </si>
  <si>
    <t>Equity; ETF; ETN</t>
  </si>
  <si>
    <t>Initial = MaxPotentialLoss (long expires with/after short). Different exercise styles allowed. Long premium fully paid; short proceeds may apply.</t>
  </si>
  <si>
    <t>FLEX|SPREAD|MPL</t>
  </si>
  <si>
    <t>F_FLEX_SPREAD_MARGIN</t>
  </si>
  <si>
    <t>SPR_FLEX_IDX</t>
  </si>
  <si>
    <t>FLEX spread (index)</t>
  </si>
  <si>
    <t>Index (European + cash-settled only for cash accounts)</t>
  </si>
  <si>
    <t>Cash acct: both legs European + cash-settled; long expires with short; cash/cash equivalents = MaxPotentialLoss; escrow permitted.</t>
  </si>
  <si>
    <t>FLEX|INDEX|CASH_ONLY|EUROPEAN|CASH_SETTLED|MPL</t>
  </si>
  <si>
    <t>F_FLEX_INDEX_SPREAD_CASH</t>
  </si>
  <si>
    <t>SH_PUT_CALL_FLEX</t>
  </si>
  <si>
    <t>FLEX short straddle</t>
  </si>
  <si>
    <t>Initial = greater(short put requirement, short call requirement) + proceeds of other leg; different exercise styles allowed.</t>
  </si>
  <si>
    <t>FLEX|STRADDLE</t>
  </si>
  <si>
    <t>Compute ShortPutRequirement and ShortCallRequirement per the applicable short option family, using option proceeds for the uncovered side.</t>
  </si>
  <si>
    <t>F_FLEX_STRADDLE_INIT</t>
  </si>
  <si>
    <t>SH_PUT_CALL_FLEX_IDX</t>
  </si>
  <si>
    <t>FLEX short straddle (index)</t>
  </si>
  <si>
    <t>Index</t>
  </si>
  <si>
    <t>Same as FLEX short straddle; if settlement determination differs (open vs close) and both expire same day, margin legs separately two business days prior to expiration.</t>
  </si>
  <si>
    <t>FLEX|STRADDLE|INDEX|SETTLEMENT_OPEN_CLOSE</t>
  </si>
  <si>
    <t>If open-vs-close settlement differs and both expire same day, treat legs as separately margined starting two business days prior to expiration.</t>
  </si>
  <si>
    <t>MPL_COMP</t>
  </si>
  <si>
    <t>Max potential loss method (for spreads)</t>
  </si>
  <si>
    <t>All option types with limited risk spreads</t>
  </si>
  <si>
    <t>Compute intrinsic value at each strike price point in spread; net values; maximum loss is greatest negative net. Margin = MaxPotentialLoss (if any) + long premium paid in full; short proceeds may apply.</t>
  </si>
  <si>
    <t>MPL_METHOD</t>
  </si>
  <si>
    <t>If expirations differ, MPL may only be valid while spread remains intact; assignment/exercise/expiration can require re-margining.</t>
  </si>
  <si>
    <t>F_MPL_METHOD</t>
  </si>
  <si>
    <t>MaxPotentialLoss</t>
  </si>
  <si>
    <t>GENERAL_NOTE</t>
  </si>
  <si>
    <t>GENERAL</t>
  </si>
  <si>
    <t>General margin principles</t>
  </si>
  <si>
    <t>Exchange margin requirements are minimums; firms may impose higher requirements. Reg T timing: initial within 4 business days; maintenance within 15 business days. For maintenance calculations, use current option market value instead of original proceeds. Calendar spreads with European-style (including VIX) may face additional firm margin or be treated as uncovered.</t>
  </si>
  <si>
    <t>INFO</t>
  </si>
  <si>
    <t>DEFINITION</t>
  </si>
  <si>
    <t>CASH_EQUIV</t>
  </si>
  <si>
    <t>Cash equivalents (Reg T)</t>
  </si>
  <si>
    <t>Cash equivalents include U.S. government or agency securities, negotiable bank CDs, banker's acceptances payable in the U.S., and money market mutual funds.</t>
  </si>
  <si>
    <t>ESCROW</t>
  </si>
  <si>
    <t>Escrow agreement (Exchange Rules)</t>
  </si>
  <si>
    <t>Escrow agreements are bank agreements securing short options: holding underlying (calls) or required cash/cash equivalents (puts), or for cash-settled products holding required cash/cash equivalents and/or qualified equity securities, to satisfy assignment/settlement obligations.</t>
  </si>
  <si>
    <t>CSPT</t>
  </si>
  <si>
    <t>LNG</t>
  </si>
  <si>
    <t>NAK</t>
  </si>
  <si>
    <t>IDX</t>
  </si>
  <si>
    <t>COL_IDX</t>
  </si>
  <si>
    <t>housecall</t>
  </si>
  <si>
    <t>intracash</t>
  </si>
  <si>
    <t>todayschange</t>
  </si>
  <si>
    <t>sma</t>
  </si>
  <si>
    <t>Option Info</t>
  </si>
  <si>
    <t>Exercise Type</t>
  </si>
  <si>
    <t>Rule Set</t>
  </si>
  <si>
    <t>Account</t>
  </si>
  <si>
    <t>Stage</t>
  </si>
  <si>
    <t>Req ($)</t>
  </si>
  <si>
    <t>Requirement</t>
  </si>
  <si>
    <t>Cash</t>
  </si>
  <si>
    <t>Initial</t>
  </si>
  <si>
    <t>Margin</t>
  </si>
  <si>
    <t>Maintenance</t>
  </si>
  <si>
    <t>Broad</t>
  </si>
  <si>
    <t>Index Type</t>
  </si>
  <si>
    <t>Contract Multiplier</t>
  </si>
  <si>
    <t>Settlement Type</t>
  </si>
  <si>
    <t>Listing Type</t>
  </si>
  <si>
    <t>CBOE</t>
  </si>
  <si>
    <t>MSFT US 03/20/26 P450 Equity</t>
  </si>
  <si>
    <t>CLIENT - INTRADAY MARGIN INPUTS</t>
  </si>
  <si>
    <t>ACCOUNT ELIGIBILITY CHECK</t>
  </si>
  <si>
    <t>MARGIN CALCULATOR</t>
  </si>
  <si>
    <t>SCENARIO BREAKDOWN</t>
  </si>
  <si>
    <t>Index tickers don't load due to "US Equity" appendment for bbg formula</t>
  </si>
  <si>
    <t>Physical</t>
  </si>
  <si>
    <t>Listed</t>
  </si>
  <si>
    <t>Margin Leverage Override</t>
  </si>
  <si>
    <t>Underlying Stock</t>
  </si>
  <si>
    <t>Shares Owned</t>
  </si>
  <si>
    <t>Avg Cost</t>
  </si>
  <si>
    <t>Current PnL</t>
  </si>
  <si>
    <t>Total Value</t>
  </si>
  <si>
    <t>Strategy Overview</t>
  </si>
  <si>
    <t>Action</t>
  </si>
  <si>
    <t>old version</t>
  </si>
  <si>
    <t>Effective Entry Price (Short Put)</t>
  </si>
  <si>
    <t>Treasury Security Obligation</t>
  </si>
  <si>
    <t>Treasury Interest (3.60%)</t>
  </si>
  <si>
    <t>MSFT US 03/20/26 P400 Equity</t>
  </si>
  <si>
    <t>MSFT US 03/20/26 C500 Equity</t>
  </si>
  <si>
    <t>MSFT US 03/20/26 C550 Equity</t>
  </si>
  <si>
    <t>Downside stress (options): Below the lower short strike ($450.00), the option overlay can lose value, but the long put helps limit the maximum option loss.  Stock + Options (combined): Both the stock and the option overlay are working against you at this level. Most of the movement here is coming from the stock position.</t>
  </si>
  <si>
    <r>
      <t>Downside stress (options):</t>
    </r>
    <r>
      <rPr>
        <sz val="10"/>
        <color theme="1"/>
        <rFont val="Aptos Narrow"/>
        <family val="2"/>
        <scheme val="minor"/>
      </rPr>
      <t xml:space="preserve"> Below the lower short strike ($450.00), the option overlay can lose value, but the long put helps limit the maximum option loss.  </t>
    </r>
    <r>
      <rPr>
        <b/>
        <sz val="10"/>
        <color theme="1"/>
        <rFont val="Aptos Narrow"/>
        <family val="2"/>
        <scheme val="minor"/>
      </rPr>
      <t>Stock + Options (combined):</t>
    </r>
    <r>
      <rPr>
        <sz val="10"/>
        <color theme="1"/>
        <rFont val="Aptos Narrow"/>
        <family val="2"/>
        <scheme val="minor"/>
      </rPr>
      <t xml:space="preserve"> Both the stock and the option overlay are working against you at this level. Most of the movement here is coming from the stock position.</t>
    </r>
  </si>
  <si>
    <t>Upside stress (options): Above the upper short strike ($500.00), the option overlay can lose value, but the long call helps limit the maximum option loss.  Stock + Options (combined): The option overlay is giving back part of the stock gains (the trade-off for premium/structure). Most of the movement here is coming from the stock position.</t>
  </si>
  <si>
    <r>
      <t>Upside stress (options):</t>
    </r>
    <r>
      <rPr>
        <sz val="10"/>
        <color theme="1"/>
        <rFont val="Aptos Narrow"/>
        <family val="2"/>
        <scheme val="minor"/>
      </rPr>
      <t xml:space="preserve"> Above the upper short strike ($500.00), the option overlay can lose value, but the long call helps limit the maximum option loss.  </t>
    </r>
    <r>
      <rPr>
        <b/>
        <sz val="10"/>
        <color theme="1"/>
        <rFont val="Aptos Narrow"/>
        <family val="2"/>
        <scheme val="minor"/>
      </rPr>
      <t>Stock + Options (combined):</t>
    </r>
    <r>
      <rPr>
        <sz val="10"/>
        <color theme="1"/>
        <rFont val="Aptos Narrow"/>
        <family val="2"/>
        <scheme val="minor"/>
      </rPr>
      <t xml:space="preserve"> The option overlay is giving back part of the stock gains (the trade-off for premium/structure). Most of the movement here is coming from the stock position.</t>
    </r>
  </si>
  <si>
    <t>Upside stress (options): Above the upper short strike ($500.00), the option overlay can lose value, but the long call helps limit the maximum option loss.  Stock + Options (combined): Upside is not capped; gains can continue to grow as the stock rises.</t>
  </si>
  <si>
    <r>
      <t>Upside stress (options):</t>
    </r>
    <r>
      <rPr>
        <sz val="10"/>
        <color theme="1"/>
        <rFont val="Aptos Narrow"/>
        <family val="2"/>
        <scheme val="minor"/>
      </rPr>
      <t xml:space="preserve"> Above the upper short strike ($500.00), the option overlay can lose value, but the long call helps limit the maximum option loss.  </t>
    </r>
    <r>
      <rPr>
        <b/>
        <sz val="10"/>
        <color theme="1"/>
        <rFont val="Aptos Narrow"/>
        <family val="2"/>
        <scheme val="minor"/>
      </rPr>
      <t>Stock + Options (combined):</t>
    </r>
    <r>
      <rPr>
        <sz val="10"/>
        <color theme="1"/>
        <rFont val="Aptos Narrow"/>
        <family val="2"/>
        <scheme val="minor"/>
      </rPr>
      <t xml:space="preserve"> Upside is not capped; gains can continue to grow as the stock rises.</t>
    </r>
  </si>
  <si>
    <t xml:space="preserve">Settlement=PHYSICAL (toggle Opt_SettlementType). Listing=LISTED (toggle Opt_ListingType). Cash spreads permitted only for European cash-settled index options (conditions not met). </t>
  </si>
  <si>
    <t>Unlimited Loss</t>
  </si>
  <si>
    <t>short put</t>
  </si>
  <si>
    <t>covered call</t>
  </si>
  <si>
    <t>Debit/Credit</t>
  </si>
  <si>
    <t>Downside stress (options): Below the lower short strike ($450.00), the option overlay can lose value, but the long put helps limit the maximum option loss.  Stock + Options (combined): Most of the movement here is coming from the option overlay.</t>
  </si>
  <si>
    <r>
      <t>Downside stress (options):</t>
    </r>
    <r>
      <rPr>
        <sz val="10"/>
        <color theme="1"/>
        <rFont val="Aptos Narrow"/>
        <family val="2"/>
        <scheme val="minor"/>
      </rPr>
      <t xml:space="preserve"> Below the lower short strike ($450.00), the option overlay can lose value, but the long put helps limit the maximum option loss.  </t>
    </r>
    <r>
      <rPr>
        <b/>
        <sz val="10"/>
        <color theme="1"/>
        <rFont val="Aptos Narrow"/>
        <family val="2"/>
        <scheme val="minor"/>
      </rPr>
      <t>Stock + Options (combined):</t>
    </r>
    <r>
      <rPr>
        <sz val="10"/>
        <color theme="1"/>
        <rFont val="Aptos Narrow"/>
        <family val="2"/>
        <scheme val="minor"/>
      </rPr>
      <t xml:space="preserve"> Most of the movement here is coming from the option overlay.</t>
    </r>
  </si>
  <si>
    <r>
      <t>Downside stress (options):</t>
    </r>
    <r>
      <rPr>
        <sz val="10"/>
        <color theme="1"/>
        <rFont val="Aptos Narrow"/>
        <family val="2"/>
        <scheme val="minor"/>
      </rPr>
      <t xml:space="preserve"> Below the lower short strike ($450.00), the option overlay can lose value, but the long put helps limit the maximum option loss.  </t>
    </r>
    <r>
      <rPr>
        <b/>
        <sz val="10"/>
        <color theme="1"/>
        <rFont val="Aptos Narrow"/>
        <family val="2"/>
        <scheme val="minor"/>
      </rPr>
      <t>Stock + Options (combined):</t>
    </r>
    <r>
      <rPr>
        <sz val="10"/>
        <color theme="1"/>
        <rFont val="Aptos Narrow"/>
        <family val="2"/>
        <scheme val="minor"/>
      </rPr>
      <t xml:space="preserve"> The option overlay is giving back part of the stock gains (the trade-off for premium/structure). Most of the movement here is coming from the stock position.</t>
    </r>
  </si>
  <si>
    <t>Income zone: Between $450.00 and $500.00, the goal is to retain premium if the stock stays contained.  Stock + Options (combined): Both the stock and the option overlay are helping at this level. Most of the movement here is coming from the stock position.</t>
  </si>
  <si>
    <r>
      <t>Income zone:</t>
    </r>
    <r>
      <rPr>
        <sz val="10"/>
        <color theme="1"/>
        <rFont val="Aptos Narrow"/>
        <family val="2"/>
        <scheme val="minor"/>
      </rPr>
      <t xml:space="preserve"> Between $450.00 and $500.00, the goal is to retain premium if the stock stays contained.  </t>
    </r>
    <r>
      <rPr>
        <b/>
        <sz val="10"/>
        <color theme="1"/>
        <rFont val="Aptos Narrow"/>
        <family val="2"/>
        <scheme val="minor"/>
      </rPr>
      <t>Stock + Options (combined):</t>
    </r>
    <r>
      <rPr>
        <sz val="10"/>
        <color theme="1"/>
        <rFont val="Aptos Narrow"/>
        <family val="2"/>
        <scheme val="minor"/>
      </rPr>
      <t xml:space="preserve"> Both the stock and the option overlay are helping at this level. Most of the movement here is coming from the stock position.</t>
    </r>
  </si>
  <si>
    <t>Show all</t>
  </si>
  <si>
    <t>Combined Breakeven: Net position turns profitable above $401.28.</t>
  </si>
  <si>
    <t>Current Status: Position is profitable. Strategy is outperforming stock holding by $180,855.</t>
  </si>
  <si>
    <t>Downside stress (options): Below the lower short strike ($450.00), the option overlay can lose value, but the long put helps limit the maximum option loss.  Stock + Options (combined): The option overlay is giving back part of the stock gains (the trade-off for premium/structure). Both the stock and the options are contributing meaningfully.</t>
  </si>
  <si>
    <t>ROI</t>
  </si>
  <si>
    <t>HOUSE</t>
  </si>
  <si>
    <t>House</t>
  </si>
  <si>
    <t>House Intraday Check</t>
  </si>
  <si>
    <t>House Margin Requirement</t>
  </si>
  <si>
    <t>Informational only; does not change margin requirement.</t>
  </si>
  <si>
    <t>Intraday Available Margin</t>
  </si>
  <si>
    <t>Min(SMA+NewCash, CallExcess+NewCash) + Today's Change</t>
  </si>
  <si>
    <t>OK to Trade Flag</t>
  </si>
  <si>
    <t>Failed</t>
  </si>
  <si>
    <t>OK if IntradayAvailable &gt;= HouseMarginReq</t>
  </si>
  <si>
    <t>House mode: spreads use CBOE spread/max-loss logic.</t>
  </si>
  <si>
    <t>House policy: Stock_Pos &lt;&gt; 0 -&gt; default to FINRA/4210 combined treatment (CBOE-style). Settlement=PHYSICAL (toggle Opt_SettlementType). Listing=LISTED (toggle Opt_ListingType). $25k type-2 equity min (policy note only).</t>
  </si>
  <si>
    <t>Combined Breakeven: Net position turns profitable above $361.42.</t>
  </si>
  <si>
    <t>Current Status: Position is profitable. Strategy is outperforming stock holding by $1,787.</t>
  </si>
  <si>
    <t>Upside Uncapped</t>
  </si>
  <si>
    <t>-24.59% from Spot</t>
  </si>
  <si>
    <t>Scenario Insights</t>
  </si>
  <si>
    <t>Disclaimer</t>
  </si>
  <si>
    <t>MAX PROFIT</t>
  </si>
  <si>
    <t>MAX RISK</t>
  </si>
  <si>
    <t>BREAKEVEN 1</t>
  </si>
  <si>
    <r>
      <rPr>
        <b/>
        <sz val="9.5"/>
        <color theme="1"/>
        <rFont val="Aptos Narrow"/>
        <family val="2"/>
        <scheme val="minor"/>
      </rPr>
      <t xml:space="preserve">Investing in options involves numerous risks. </t>
    </r>
    <r>
      <rPr>
        <sz val="9.5"/>
        <color theme="1"/>
        <rFont val="Aptos Narrow"/>
        <family val="2"/>
        <scheme val="minor"/>
      </rPr>
      <t xml:space="preserve">Such risks include, but are not limited to, the following: a long option position is negatively impacted by a decrease in implied volatility, lack of movement in the underlying stock or Index and the passage of time. A short option investor is negatively impacted by an increase in implied volatility, a large directional movement in the underlying stock or Index and the lack of the passage of time. For options purchased themaximum loss is the premium. For an uncovered call sold the maximum loss is unlimited, while for an uncovered put sold the maximum loss is put strike minus premium. For uncovered options margin must be posted. Because uncovered option selling involves significant risks this strategy should be under taken only by sophisticated investors.
Complex option strategies involve either the simultaneous purchase or sale of multiple options or the simultaneous purchase and sale of numerous options, such as spreads or collars. Their pay off profile and risks can be complicated, and should only be undertaken by sophisticated investors. Complex option strategies can often be broken down into individual component options, and their risks can be identified and analyzed.
Complex strategies may have limited or unlimited loss potential, and in cases where uncovered options are sold margin is required to be posted.
Options, structured derivative products and futures are not suitable for all investors, and trading in these instruments is considered risky and may be appropriate only for sophisticated investors. Past performance is not necessarily indicative of future results. Various theoretical explanations of the risks associated with these instruments have been published. Prior to buying or selling an option, and for the complete risks relating to options, you must receive a copy of The Characteristics and Risks of Standardized Options." You may read the document at  http://www.optionsclearing.com/about/publications/character-risks.jsp or by writing to UBS.
</t>
    </r>
    <r>
      <rPr>
        <b/>
        <sz val="9.5"/>
        <color theme="1"/>
        <rFont val="Aptos Narrow"/>
        <family val="2"/>
        <scheme val="minor"/>
      </rPr>
      <t>Important information about Advisory &amp; Brokerage Services</t>
    </r>
    <r>
      <rPr>
        <sz val="9.5"/>
        <color theme="1"/>
        <rFont val="Aptos Narrow"/>
        <family val="2"/>
        <scheme val="minor"/>
      </rPr>
      <t xml:space="preserve">
As a firm providing wealth management services to clients, UBS is registered with the U.S. Securities and Exchange Commission (SEC) as an investment adviser and a broker-dealer, offering both investment advisory and brokerage services. Advisory services and brokerage services are separate and distinct, differ in material ways and are governed by different laws and separate contracts. It is important that you carefully read the agreements and disclosures UBS provides to you about the products or services offered. For more information, please visit our website at www.ubs.com/workingwithus.</t>
    </r>
  </si>
  <si>
    <t>At $400. Strike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</si>
</sst>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6" formatCode="&quot;$&quot;#,##0_);[Red]\(&quot;$&quot;#,##0\)"/>
    <numFmt numFmtId="8" formatCode="&quot;$&quot;#,##0.00_);[Red]\(&quot;$&quot;#,##0.00\)"/>
    <numFmt numFmtId="43" formatCode="_(* #,##0.00_);_(* \(#,##0.00\);_(* &quot;-&quot;??_);_(@_)"/>
    <numFmt numFmtId="164" formatCode="#,##0.00_ ;[Red]\-#,##0.00\ "/>
    <numFmt numFmtId="165" formatCode="0\ &quot;Days&quot;;\-0\ &quot;Days&quot;;&quot;Expired&quot;"/>
    <numFmt numFmtId="166" formatCode="yyyy\-mm\-dd"/>
    <numFmt numFmtId="167" formatCode="0.0%"/>
    <numFmt numFmtId="168" formatCode="&quot;$&quot;#,##0.00;[Red]\-&quot;$&quot;#,##0.00;\-"/>
    <numFmt numFmtId="169" formatCode="0.00%;[Red]\-0.00%"/>
    <numFmt numFmtId="170" formatCode="&quot;$&quot;#,##0;[Red]\-&quot;$&quot;#,##0;\-"/>
    <numFmt numFmtId="171" formatCode=";;;"/>
    <numFmt numFmtId="172" formatCode="0.00\x"/>
    <numFmt numFmtId="173" formatCode="&quot;$&quot;#,##0.00"/>
    <numFmt numFmtId="174" formatCode="mmm\ d\,\ yyyy"/>
    <numFmt numFmtId="175" formatCode="&quot;$&quot;#,##0;[Red]\-&quot;$&quot;#,##0;&quot;N/A&quot;"/>
    <numFmt numFmtId="177" formatCode="0%;[Red]\-0%"/>
  </numFmts>
  <fonts count="37" x14ac:knownFonts="1">
    <font>
      <sz val="11"/>
      <color theme="1"/>
      <name val="Aptos Narrow"/>
      <family val="2"/>
      <scheme val="minor"/>
    </font>
    <font>
      <b/>
      <sz val="11"/>
      <color theme="1"/>
      <name val="Aptos Narrow"/>
      <family val="2"/>
      <scheme val="minor"/>
    </font>
    <font>
      <sz val="11"/>
      <color rgb="FF000000"/>
      <name val="Aptos Narrow"/>
      <family val="2"/>
    </font>
    <font>
      <sz val="8"/>
      <color rgb="FF000000"/>
      <name val="Segoe UI"/>
      <family val="2"/>
    </font>
    <font>
      <sz val="11"/>
      <color theme="1"/>
      <name val="Aptos Narrow"/>
      <family val="2"/>
      <scheme val="minor"/>
    </font>
    <font>
      <sz val="10"/>
      <color theme="1"/>
      <name val="Aptos Narrow"/>
      <family val="2"/>
      <scheme val="minor"/>
    </font>
    <font>
      <sz val="11"/>
      <color rgb="FFC00000"/>
      <name val="Aptos Narrow"/>
      <family val="2"/>
      <scheme val="minor"/>
    </font>
    <font>
      <sz val="8.5"/>
      <color theme="1"/>
      <name val="Aptos Narrow"/>
      <family val="2"/>
      <scheme val="minor"/>
    </font>
    <font>
      <sz val="24"/>
      <color rgb="FFC00000"/>
      <name val="Aptos Display"/>
      <family val="2"/>
    </font>
    <font>
      <sz val="14"/>
      <color rgb="FFC00000"/>
      <name val="Aptos Display"/>
      <family val="2"/>
    </font>
    <font>
      <sz val="10"/>
      <color rgb="FFC00000"/>
      <name val="Aptos Display"/>
      <family val="2"/>
    </font>
    <font>
      <b/>
      <sz val="10"/>
      <color theme="1"/>
      <name val="Aptos Narrow"/>
      <family val="2"/>
      <scheme val="minor"/>
    </font>
    <font>
      <sz val="10"/>
      <color theme="1"/>
      <name val="Aptos"/>
      <family val="2"/>
    </font>
    <font>
      <sz val="11"/>
      <color rgb="FFFF0000"/>
      <name val="Aptos Narrow"/>
      <family val="2"/>
    </font>
    <font>
      <sz val="10"/>
      <color rgb="FFC00000"/>
      <name val="Aptos Narrow"/>
      <family val="2"/>
      <scheme val="minor"/>
    </font>
    <font>
      <sz val="10"/>
      <name val="Aptos Narrow"/>
      <family val="2"/>
      <scheme val="minor"/>
    </font>
    <font>
      <sz val="10"/>
      <color rgb="FF0000F4"/>
      <name val="Aptos Narrow"/>
      <family val="2"/>
      <scheme val="minor"/>
    </font>
    <font>
      <i/>
      <sz val="10"/>
      <color rgb="FF0000F4"/>
      <name val="Aptos Narrow"/>
      <family val="2"/>
      <scheme val="minor"/>
    </font>
    <font>
      <b/>
      <sz val="11"/>
      <color theme="0"/>
      <name val="Aptos Narrow"/>
      <family val="2"/>
      <scheme val="minor"/>
    </font>
    <font>
      <sz val="11"/>
      <color theme="0"/>
      <name val="Aptos Narrow"/>
      <family val="2"/>
      <scheme val="minor"/>
    </font>
    <font>
      <sz val="10"/>
      <color rgb="FF00B050"/>
      <name val="Aptos Narrow"/>
      <family val="2"/>
      <scheme val="minor"/>
    </font>
    <font>
      <b/>
      <sz val="10"/>
      <color theme="0"/>
      <name val="Aptos Narrow"/>
      <family val="2"/>
      <scheme val="minor"/>
    </font>
    <font>
      <sz val="10"/>
      <color rgb="FFFF0000"/>
      <name val="Aptos Narrow"/>
      <family val="2"/>
      <scheme val="minor"/>
    </font>
    <font>
      <b/>
      <sz val="16"/>
      <color theme="1"/>
      <name val="Aptos Narrow"/>
      <family val="2"/>
      <scheme val="minor"/>
    </font>
    <font>
      <sz val="10"/>
      <color theme="1"/>
      <name val="Arial"/>
      <family val="2"/>
    </font>
    <font>
      <b/>
      <sz val="10"/>
      <color theme="1"/>
      <name val="Arial"/>
      <family val="2"/>
    </font>
    <font>
      <b/>
      <sz val="16"/>
      <color rgb="FF000000"/>
      <name val="Aptos Black"/>
      <family val="2"/>
    </font>
    <font>
      <b/>
      <sz val="11"/>
      <color rgb="FFFF0000"/>
      <name val="Aptos Narrow"/>
      <family val="2"/>
    </font>
    <font>
      <strike/>
      <sz val="10"/>
      <color theme="1"/>
      <name val="Aptos Narrow"/>
      <family val="2"/>
      <scheme val="minor"/>
    </font>
    <font>
      <strike/>
      <sz val="11"/>
      <color theme="1"/>
      <name val="Aptos Narrow"/>
      <family val="2"/>
      <scheme val="minor"/>
    </font>
    <font>
      <b/>
      <sz val="10"/>
      <color rgb="FF000000"/>
      <name val="Aptos Narrow"/>
      <family val="2"/>
      <scheme val="minor"/>
    </font>
    <font>
      <b/>
      <sz val="11"/>
      <color theme="3" tint="0.249977111117893"/>
      <name val="Aptos Narrow"/>
      <family val="2"/>
      <scheme val="minor"/>
    </font>
    <font>
      <b/>
      <sz val="11"/>
      <color rgb="FF7030A0"/>
      <name val="Aptos Narrow"/>
      <family val="2"/>
      <scheme val="minor"/>
    </font>
    <font>
      <sz val="9"/>
      <color theme="1"/>
      <name val="Aptos Narrow"/>
      <family val="2"/>
      <scheme val="minor"/>
    </font>
    <font>
      <sz val="9"/>
      <color rgb="FFC00000"/>
      <name val="Aptos Display"/>
      <family val="2"/>
    </font>
    <font>
      <sz val="9.5"/>
      <color theme="1"/>
      <name val="Aptos Narrow"/>
      <family val="2"/>
      <scheme val="minor"/>
    </font>
    <font>
      <b/>
      <sz val="9.5"/>
      <color theme="1"/>
      <name val="Aptos Narrow"/>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F5F5F5"/>
        <bgColor indexed="64"/>
      </patternFill>
    </fill>
    <fill>
      <patternFill patternType="solid">
        <fgColor rgb="FFF5FAFF"/>
        <bgColor indexed="64"/>
      </patternFill>
    </fill>
    <fill>
      <patternFill patternType="solid">
        <fgColor theme="3" tint="0.499984740745262"/>
        <bgColor indexed="64"/>
      </patternFill>
    </fill>
    <fill>
      <patternFill patternType="solid">
        <fgColor rgb="FFFFFF00"/>
        <bgColor indexed="64"/>
      </patternFill>
    </fill>
    <fill>
      <patternFill patternType="solid">
        <fgColor rgb="FFF9F9F9"/>
        <bgColor indexed="64"/>
      </patternFill>
    </fill>
  </fills>
  <borders count="3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right style="thin">
        <color indexed="64"/>
      </right>
      <top/>
      <bottom/>
      <diagonal/>
    </border>
    <border>
      <left style="thin">
        <color indexed="64"/>
      </left>
      <right style="thin">
        <color theme="0" tint="-0.24994659260841701"/>
      </right>
      <top style="thin">
        <color theme="0" tint="-0.24994659260841701"/>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right style="thin">
        <color indexed="64"/>
      </right>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4659260841701"/>
      </left>
      <right/>
      <top/>
      <bottom style="thin">
        <color indexed="64"/>
      </bottom>
      <diagonal/>
    </border>
    <border>
      <left/>
      <right/>
      <top/>
      <bottom style="thin">
        <color rgb="FFC00000"/>
      </bottom>
      <diagonal/>
    </border>
    <border>
      <left/>
      <right/>
      <top style="thin">
        <color rgb="FFC00000"/>
      </top>
      <bottom/>
      <diagonal/>
    </border>
    <border>
      <left/>
      <right/>
      <top/>
      <bottom style="thin">
        <color auto="1"/>
      </bottom>
      <diagonal/>
    </border>
    <border>
      <left/>
      <right/>
      <top/>
      <bottom style="thin">
        <color rgb="FFC8C8C8"/>
      </bottom>
      <diagonal/>
    </border>
    <border>
      <left/>
      <right/>
      <top style="thin">
        <color rgb="FFDCDCDC"/>
      </top>
      <bottom style="thin">
        <color rgb="FFDCDCDC"/>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indexed="64"/>
      </bottom>
      <diagonal/>
    </border>
    <border>
      <left style="thin">
        <color rgb="FFE6E6E6"/>
      </left>
      <right style="thin">
        <color rgb="FFE6E6E6"/>
      </right>
      <top style="thin">
        <color rgb="FFE6E6E6"/>
      </top>
      <bottom style="thin">
        <color rgb="FFE6E6E6"/>
      </bottom>
      <diagonal/>
    </border>
    <border>
      <left style="thin">
        <color rgb="FFE6E6E6"/>
      </left>
      <right style="thin">
        <color rgb="FFE6E6E6"/>
      </right>
      <top style="thin">
        <color rgb="FFE6E6E6"/>
      </top>
      <bottom/>
      <diagonal/>
    </border>
    <border>
      <left/>
      <right/>
      <top/>
      <bottom style="thin">
        <color theme="0" tint="-0.14996795556505021"/>
      </bottom>
      <diagonal/>
    </border>
    <border>
      <left/>
      <right/>
      <top/>
      <bottom style="thin">
        <color theme="2" tint="-9.9948118533890809E-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s>
  <cellStyleXfs count="3">
    <xf numFmtId="0" fontId="0" fillId="0" borderId="0"/>
    <xf numFmtId="9" fontId="4" fillId="0" borderId="0" applyFont="0" applyFill="0" applyBorder="0" applyAlignment="0" applyProtection="0"/>
    <xf numFmtId="43" fontId="4" fillId="0" borderId="0" applyFont="0" applyFill="0" applyBorder="0" applyAlignment="0" applyProtection="0"/>
  </cellStyleXfs>
  <cellXfs count="277">
    <xf numFmtId="0" fontId="0" fillId="0" borderId="0" xfId="0"/>
    <xf numFmtId="0" fontId="1" fillId="0" borderId="0" xfId="0" applyFont="1"/>
    <xf numFmtId="10" fontId="0" fillId="0" borderId="0" xfId="0" applyNumberFormat="1"/>
    <xf numFmtId="0" fontId="0" fillId="0" borderId="0" xfId="0" applyAlignment="1">
      <alignment horizontal="right"/>
    </xf>
    <xf numFmtId="14" fontId="0" fillId="0" borderId="0" xfId="0" applyNumberFormat="1"/>
    <xf numFmtId="2" fontId="0" fillId="0" borderId="0" xfId="0" applyNumberFormat="1"/>
    <xf numFmtId="166" fontId="0" fillId="0" borderId="0" xfId="0" applyNumberFormat="1"/>
    <xf numFmtId="167" fontId="0" fillId="0" borderId="0" xfId="1" applyNumberFormat="1" applyFont="1"/>
    <xf numFmtId="10" fontId="0" fillId="0" borderId="0" xfId="1" applyNumberFormat="1" applyFont="1"/>
    <xf numFmtId="0" fontId="5" fillId="0" borderId="0" xfId="0" applyFont="1"/>
    <xf numFmtId="0" fontId="10" fillId="0" borderId="0" xfId="0" applyFont="1"/>
    <xf numFmtId="2" fontId="5" fillId="0" borderId="0" xfId="1" applyNumberFormat="1" applyFont="1"/>
    <xf numFmtId="14" fontId="5" fillId="0" borderId="0" xfId="0" applyNumberFormat="1" applyFont="1"/>
    <xf numFmtId="0" fontId="0" fillId="0" borderId="16" xfId="0" applyBorder="1"/>
    <xf numFmtId="0" fontId="11" fillId="0" borderId="0" xfId="0" applyFont="1"/>
    <xf numFmtId="2" fontId="5" fillId="0" borderId="0" xfId="0" applyNumberFormat="1" applyFont="1" applyAlignment="1">
      <alignment horizontal="left"/>
    </xf>
    <xf numFmtId="0" fontId="6" fillId="0" borderId="0" xfId="0" applyFont="1"/>
    <xf numFmtId="0" fontId="5" fillId="0" borderId="0" xfId="0" applyFont="1" applyAlignment="1">
      <alignment horizontal="left"/>
    </xf>
    <xf numFmtId="0" fontId="12" fillId="0" borderId="0" xfId="0" applyFont="1"/>
    <xf numFmtId="10" fontId="5" fillId="0" borderId="0" xfId="1" applyNumberFormat="1" applyFont="1"/>
    <xf numFmtId="0" fontId="11" fillId="0" borderId="0" xfId="0" applyFont="1" applyAlignment="1">
      <alignment horizontal="right"/>
    </xf>
    <xf numFmtId="10" fontId="5" fillId="0" borderId="0" xfId="0" applyNumberFormat="1" applyFont="1"/>
    <xf numFmtId="0" fontId="5" fillId="2" borderId="1" xfId="0" applyFont="1" applyFill="1" applyBorder="1" applyAlignment="1">
      <alignment horizontal="center"/>
    </xf>
    <xf numFmtId="164" fontId="5" fillId="3" borderId="1" xfId="0" applyNumberFormat="1" applyFont="1" applyFill="1" applyBorder="1" applyAlignment="1">
      <alignment horizontal="right"/>
    </xf>
    <xf numFmtId="0" fontId="5" fillId="2" borderId="8" xfId="0" applyFont="1" applyFill="1" applyBorder="1" applyAlignment="1">
      <alignment horizontal="center"/>
    </xf>
    <xf numFmtId="0" fontId="5" fillId="2" borderId="9" xfId="0" applyFont="1" applyFill="1" applyBorder="1" applyAlignment="1">
      <alignment horizontal="center"/>
    </xf>
    <xf numFmtId="0" fontId="5" fillId="2" borderId="2" xfId="0" applyFont="1" applyFill="1" applyBorder="1" applyAlignment="1">
      <alignment horizontal="center"/>
    </xf>
    <xf numFmtId="2" fontId="5" fillId="4" borderId="0" xfId="0" applyNumberFormat="1" applyFont="1" applyFill="1" applyAlignment="1">
      <alignment horizontal="left"/>
    </xf>
    <xf numFmtId="0" fontId="5" fillId="4" borderId="0" xfId="0" applyFont="1" applyFill="1"/>
    <xf numFmtId="0" fontId="5" fillId="2" borderId="4" xfId="0" applyFont="1" applyFill="1" applyBorder="1" applyAlignment="1">
      <alignment horizontal="center"/>
    </xf>
    <xf numFmtId="0" fontId="5" fillId="4" borderId="5" xfId="0" applyFont="1" applyFill="1" applyBorder="1"/>
    <xf numFmtId="0" fontId="5" fillId="2" borderId="6" xfId="0" applyFont="1" applyFill="1" applyBorder="1" applyAlignment="1">
      <alignment horizontal="center"/>
    </xf>
    <xf numFmtId="165" fontId="5" fillId="0" borderId="7" xfId="0" applyNumberFormat="1" applyFont="1" applyBorder="1" applyAlignment="1">
      <alignment horizontal="center"/>
    </xf>
    <xf numFmtId="9" fontId="5" fillId="4" borderId="0" xfId="0" applyNumberFormat="1" applyFont="1" applyFill="1" applyAlignment="1">
      <alignment horizontal="center"/>
    </xf>
    <xf numFmtId="0" fontId="5" fillId="4" borderId="0" xfId="0" applyFont="1" applyFill="1" applyAlignment="1">
      <alignment horizontal="center"/>
    </xf>
    <xf numFmtId="0" fontId="16" fillId="4" borderId="3" xfId="0" applyFont="1" applyFill="1" applyBorder="1" applyAlignment="1">
      <alignment horizontal="center"/>
    </xf>
    <xf numFmtId="14" fontId="16" fillId="4" borderId="3" xfId="0" applyNumberFormat="1" applyFont="1" applyFill="1" applyBorder="1" applyAlignment="1">
      <alignment horizontal="center"/>
    </xf>
    <xf numFmtId="0" fontId="0" fillId="0" borderId="0" xfId="0" applyAlignment="1">
      <alignment wrapText="1"/>
    </xf>
    <xf numFmtId="168" fontId="5" fillId="0" borderId="0" xfId="0" applyNumberFormat="1" applyFont="1" applyAlignment="1">
      <alignment horizontal="right"/>
    </xf>
    <xf numFmtId="169" fontId="5" fillId="0" borderId="0" xfId="0" applyNumberFormat="1" applyFont="1" applyAlignment="1">
      <alignment horizontal="right"/>
    </xf>
    <xf numFmtId="0" fontId="1" fillId="5" borderId="19" xfId="0" applyFont="1" applyFill="1" applyBorder="1" applyAlignment="1">
      <alignment horizontal="right"/>
    </xf>
    <xf numFmtId="0" fontId="1" fillId="5" borderId="19" xfId="0" applyFont="1" applyFill="1" applyBorder="1" applyAlignment="1">
      <alignment horizontal="left"/>
    </xf>
    <xf numFmtId="0" fontId="11" fillId="6" borderId="20" xfId="0" applyFont="1" applyFill="1" applyBorder="1" applyAlignment="1">
      <alignment horizontal="left"/>
    </xf>
    <xf numFmtId="168" fontId="11" fillId="6" borderId="20" xfId="0" applyNumberFormat="1" applyFont="1" applyFill="1" applyBorder="1" applyAlignment="1">
      <alignment horizontal="right"/>
    </xf>
    <xf numFmtId="169" fontId="11" fillId="6" borderId="20" xfId="0" applyNumberFormat="1" applyFont="1" applyFill="1" applyBorder="1" applyAlignment="1">
      <alignment horizontal="right"/>
    </xf>
    <xf numFmtId="0" fontId="11" fillId="0" borderId="0" xfId="0" applyFont="1" applyAlignment="1">
      <alignment horizontal="left"/>
    </xf>
    <xf numFmtId="0" fontId="0" fillId="0" borderId="22" xfId="0" applyBorder="1"/>
    <xf numFmtId="0" fontId="0" fillId="0" borderId="21" xfId="0" applyBorder="1"/>
    <xf numFmtId="0" fontId="0" fillId="0" borderId="23" xfId="0" applyBorder="1"/>
    <xf numFmtId="0" fontId="0" fillId="0" borderId="24" xfId="0" applyBorder="1"/>
    <xf numFmtId="0" fontId="0" fillId="0" borderId="3" xfId="0" applyBorder="1"/>
    <xf numFmtId="0" fontId="0" fillId="0" borderId="25" xfId="0" applyBorder="1"/>
    <xf numFmtId="0" fontId="0" fillId="0" borderId="18" xfId="0" applyBorder="1"/>
    <xf numFmtId="0" fontId="1" fillId="0" borderId="18" xfId="0" applyFont="1" applyBorder="1"/>
    <xf numFmtId="0" fontId="0" fillId="0" borderId="7" xfId="0" applyBorder="1"/>
    <xf numFmtId="0" fontId="21" fillId="7" borderId="10" xfId="0" applyFont="1" applyFill="1" applyBorder="1"/>
    <xf numFmtId="0" fontId="21" fillId="7" borderId="11" xfId="0" applyFont="1" applyFill="1" applyBorder="1"/>
    <xf numFmtId="0" fontId="21" fillId="7" borderId="14" xfId="0" applyFont="1" applyFill="1" applyBorder="1"/>
    <xf numFmtId="0" fontId="18" fillId="7" borderId="10" xfId="0" applyFont="1" applyFill="1" applyBorder="1"/>
    <xf numFmtId="0" fontId="18" fillId="7" borderId="11" xfId="0" applyFont="1" applyFill="1" applyBorder="1"/>
    <xf numFmtId="0" fontId="19" fillId="7" borderId="11" xfId="0" applyFont="1" applyFill="1" applyBorder="1"/>
    <xf numFmtId="0" fontId="19" fillId="7" borderId="14" xfId="0" applyFont="1" applyFill="1" applyBorder="1"/>
    <xf numFmtId="0" fontId="11" fillId="3" borderId="11" xfId="0" applyFont="1" applyFill="1" applyBorder="1" applyAlignment="1">
      <alignment horizontal="right"/>
    </xf>
    <xf numFmtId="9" fontId="11" fillId="3" borderId="11" xfId="1" applyFont="1" applyFill="1" applyBorder="1"/>
    <xf numFmtId="0" fontId="11" fillId="3" borderId="10" xfId="0" applyFont="1" applyFill="1" applyBorder="1"/>
    <xf numFmtId="9" fontId="11" fillId="3" borderId="14" xfId="1" applyFont="1" applyFill="1" applyBorder="1"/>
    <xf numFmtId="0" fontId="5" fillId="3" borderId="24" xfId="0" applyFont="1" applyFill="1" applyBorder="1" applyAlignment="1">
      <alignment horizontal="left" indent="1"/>
    </xf>
    <xf numFmtId="170" fontId="22" fillId="0" borderId="0" xfId="0" applyNumberFormat="1" applyFont="1" applyAlignment="1">
      <alignment horizontal="right"/>
    </xf>
    <xf numFmtId="170" fontId="15" fillId="0" borderId="0" xfId="0" applyNumberFormat="1" applyFont="1" applyAlignment="1">
      <alignment horizontal="right"/>
    </xf>
    <xf numFmtId="170" fontId="20" fillId="0" borderId="0" xfId="0" applyNumberFormat="1" applyFont="1" applyAlignment="1">
      <alignment horizontal="right"/>
    </xf>
    <xf numFmtId="170" fontId="20" fillId="0" borderId="3" xfId="0" applyNumberFormat="1" applyFont="1" applyBorder="1" applyAlignment="1">
      <alignment horizontal="right"/>
    </xf>
    <xf numFmtId="170" fontId="14" fillId="0" borderId="0" xfId="0" applyNumberFormat="1" applyFont="1" applyAlignment="1">
      <alignment horizontal="right"/>
    </xf>
    <xf numFmtId="170" fontId="14" fillId="0" borderId="3" xfId="0" applyNumberFormat="1" applyFont="1" applyBorder="1" applyAlignment="1">
      <alignment horizontal="right"/>
    </xf>
    <xf numFmtId="0" fontId="5" fillId="3" borderId="25" xfId="0" applyFont="1" applyFill="1" applyBorder="1" applyAlignment="1">
      <alignment horizontal="left" indent="1"/>
    </xf>
    <xf numFmtId="170" fontId="14" fillId="0" borderId="18" xfId="0" applyNumberFormat="1" applyFont="1" applyBorder="1" applyAlignment="1">
      <alignment horizontal="right"/>
    </xf>
    <xf numFmtId="170" fontId="14" fillId="0" borderId="7" xfId="0" applyNumberFormat="1" applyFont="1" applyBorder="1" applyAlignment="1">
      <alignment horizontal="right"/>
    </xf>
    <xf numFmtId="0" fontId="18" fillId="7" borderId="14" xfId="0" applyFont="1" applyFill="1" applyBorder="1"/>
    <xf numFmtId="0" fontId="5" fillId="2" borderId="26" xfId="0" applyFont="1" applyFill="1" applyBorder="1" applyAlignment="1">
      <alignment horizontal="center"/>
    </xf>
    <xf numFmtId="0" fontId="5" fillId="2" borderId="27" xfId="0" applyFont="1" applyFill="1" applyBorder="1" applyAlignment="1">
      <alignment horizontal="center"/>
    </xf>
    <xf numFmtId="0" fontId="15" fillId="2" borderId="27" xfId="0" applyFont="1" applyFill="1" applyBorder="1" applyAlignment="1">
      <alignment horizontal="center"/>
    </xf>
    <xf numFmtId="0" fontId="5" fillId="2" borderId="28" xfId="0" applyFont="1" applyFill="1" applyBorder="1" applyAlignment="1">
      <alignment horizontal="center"/>
    </xf>
    <xf numFmtId="0" fontId="5" fillId="0" borderId="0" xfId="0" applyFont="1" applyAlignment="1">
      <alignment horizontal="center"/>
    </xf>
    <xf numFmtId="0" fontId="16" fillId="0" borderId="0" xfId="0" applyFont="1" applyAlignment="1">
      <alignment horizontal="center"/>
    </xf>
    <xf numFmtId="164" fontId="5" fillId="3" borderId="29" xfId="0" applyNumberFormat="1" applyFont="1" applyFill="1" applyBorder="1" applyAlignment="1">
      <alignment horizontal="right"/>
    </xf>
    <xf numFmtId="0" fontId="5" fillId="2" borderId="30" xfId="0" applyFont="1" applyFill="1" applyBorder="1" applyAlignment="1">
      <alignment horizontal="center"/>
    </xf>
    <xf numFmtId="0" fontId="5" fillId="2" borderId="31" xfId="0" applyFont="1" applyFill="1" applyBorder="1" applyAlignment="1">
      <alignment horizontal="center"/>
    </xf>
    <xf numFmtId="0" fontId="11" fillId="2" borderId="31" xfId="0" applyFont="1" applyFill="1" applyBorder="1" applyAlignment="1">
      <alignment horizontal="center"/>
    </xf>
    <xf numFmtId="2" fontId="5" fillId="2" borderId="6" xfId="0" applyNumberFormat="1" applyFont="1" applyFill="1" applyBorder="1" applyAlignment="1">
      <alignment horizontal="center"/>
    </xf>
    <xf numFmtId="2" fontId="5" fillId="2" borderId="32" xfId="0" applyNumberFormat="1" applyFont="1" applyFill="1" applyBorder="1" applyAlignment="1">
      <alignment horizontal="center"/>
    </xf>
    <xf numFmtId="0" fontId="18" fillId="7" borderId="22" xfId="0" applyFont="1" applyFill="1" applyBorder="1"/>
    <xf numFmtId="0" fontId="18" fillId="7" borderId="21" xfId="0" applyFont="1" applyFill="1" applyBorder="1"/>
    <xf numFmtId="43" fontId="0" fillId="0" borderId="0" xfId="2" applyFont="1"/>
    <xf numFmtId="0" fontId="11" fillId="0" borderId="33" xfId="0" applyFont="1" applyBorder="1" applyAlignment="1">
      <alignment vertical="center" wrapText="1"/>
    </xf>
    <xf numFmtId="0" fontId="5" fillId="0" borderId="33" xfId="0" applyFont="1" applyBorder="1" applyAlignment="1">
      <alignment wrapText="1"/>
    </xf>
    <xf numFmtId="0" fontId="11" fillId="0" borderId="0" xfId="0" applyFont="1" applyAlignment="1">
      <alignment horizontal="left" vertical="center" indent="2"/>
    </xf>
    <xf numFmtId="0" fontId="5" fillId="0" borderId="15" xfId="0" applyFont="1" applyBorder="1" applyAlignment="1">
      <alignment horizontal="left"/>
    </xf>
    <xf numFmtId="0" fontId="5" fillId="0" borderId="24" xfId="0" applyFont="1" applyBorder="1" applyAlignment="1">
      <alignment horizontal="left"/>
    </xf>
    <xf numFmtId="0" fontId="24" fillId="0" borderId="0" xfId="0" applyFont="1" applyAlignment="1">
      <alignment vertical="center"/>
    </xf>
    <xf numFmtId="0" fontId="25" fillId="0" borderId="0" xfId="0" applyFont="1" applyAlignment="1">
      <alignment vertical="center"/>
    </xf>
    <xf numFmtId="0" fontId="25" fillId="0" borderId="0" xfId="0" applyFont="1" applyAlignment="1">
      <alignment horizontal="left" vertical="center" indent="1"/>
    </xf>
    <xf numFmtId="0" fontId="25" fillId="0" borderId="0" xfId="0" applyFont="1" applyAlignment="1">
      <alignment horizontal="left" vertical="center" indent="2"/>
    </xf>
    <xf numFmtId="0" fontId="24" fillId="0" borderId="0" xfId="0" applyFont="1" applyAlignment="1">
      <alignment horizontal="left" vertical="center" indent="1"/>
    </xf>
    <xf numFmtId="0" fontId="24" fillId="0" borderId="0" xfId="0" applyFont="1" applyAlignment="1">
      <alignment horizontal="left" vertical="center" indent="2"/>
    </xf>
    <xf numFmtId="1" fontId="5" fillId="0" borderId="0" xfId="0" applyNumberFormat="1" applyFont="1" applyAlignment="1">
      <alignment horizontal="right"/>
    </xf>
    <xf numFmtId="0" fontId="5" fillId="0" borderId="0" xfId="0" applyFont="1" applyAlignment="1">
      <alignment horizontal="right"/>
    </xf>
    <xf numFmtId="0" fontId="5" fillId="0" borderId="17" xfId="0" applyFont="1" applyBorder="1"/>
    <xf numFmtId="0" fontId="11" fillId="0" borderId="0" xfId="0" applyFont="1" applyAlignment="1">
      <alignment horizontal="left" vertical="center" indent="1"/>
    </xf>
    <xf numFmtId="0" fontId="11" fillId="0" borderId="0" xfId="0" applyFont="1" applyAlignment="1">
      <alignment horizontal="left" indent="3"/>
    </xf>
    <xf numFmtId="0" fontId="9" fillId="0" borderId="0" xfId="0" applyFont="1"/>
    <xf numFmtId="0" fontId="9" fillId="0" borderId="16" xfId="0" applyFont="1" applyBorder="1"/>
    <xf numFmtId="0" fontId="1" fillId="4" borderId="0" xfId="0" applyFont="1" applyFill="1"/>
    <xf numFmtId="0" fontId="0" fillId="4" borderId="0" xfId="0" applyFill="1"/>
    <xf numFmtId="0" fontId="5" fillId="4" borderId="0" xfId="0" applyFont="1" applyFill="1" applyAlignment="1">
      <alignment horizontal="left"/>
    </xf>
    <xf numFmtId="173" fontId="5" fillId="0" borderId="0" xfId="0" applyNumberFormat="1" applyFont="1" applyAlignment="1">
      <alignment horizontal="right"/>
    </xf>
    <xf numFmtId="173" fontId="11" fillId="0" borderId="0" xfId="0" applyNumberFormat="1" applyFont="1" applyAlignment="1">
      <alignment horizontal="right"/>
    </xf>
    <xf numFmtId="0" fontId="0" fillId="8" borderId="0" xfId="0" applyFill="1"/>
    <xf numFmtId="0" fontId="17" fillId="0" borderId="0" xfId="0" applyFont="1" applyAlignment="1">
      <alignment horizontal="left"/>
    </xf>
    <xf numFmtId="0" fontId="1" fillId="0" borderId="24" xfId="0" applyFont="1" applyBorder="1"/>
    <xf numFmtId="0" fontId="1" fillId="2" borderId="24" xfId="0" applyFont="1" applyFill="1" applyBorder="1" applyAlignment="1">
      <alignment horizontal="center"/>
    </xf>
    <xf numFmtId="0" fontId="1" fillId="2" borderId="0" xfId="0" applyFont="1" applyFill="1" applyAlignment="1">
      <alignment horizontal="left" indent="7"/>
    </xf>
    <xf numFmtId="0" fontId="1" fillId="2" borderId="0" xfId="0" applyFont="1" applyFill="1"/>
    <xf numFmtId="0" fontId="1" fillId="2" borderId="3" xfId="0" applyFont="1" applyFill="1" applyBorder="1"/>
    <xf numFmtId="0" fontId="1" fillId="3" borderId="0" xfId="0" applyFont="1" applyFill="1" applyAlignment="1">
      <alignment vertical="center"/>
    </xf>
    <xf numFmtId="0" fontId="0" fillId="3" borderId="0" xfId="0" applyFill="1"/>
    <xf numFmtId="0" fontId="0" fillId="3" borderId="3" xfId="0" applyFill="1" applyBorder="1"/>
    <xf numFmtId="0" fontId="1" fillId="3" borderId="0" xfId="0" applyFont="1" applyFill="1" applyAlignment="1">
      <alignment horizontal="left" vertical="top"/>
    </xf>
    <xf numFmtId="0" fontId="0" fillId="3" borderId="24" xfId="0" applyFill="1" applyBorder="1"/>
    <xf numFmtId="0" fontId="0" fillId="3" borderId="25" xfId="0" applyFill="1" applyBorder="1"/>
    <xf numFmtId="0" fontId="0" fillId="3" borderId="18" xfId="0" applyFill="1" applyBorder="1"/>
    <xf numFmtId="0" fontId="0" fillId="3" borderId="7" xfId="0" applyFill="1" applyBorder="1"/>
    <xf numFmtId="10" fontId="0" fillId="0" borderId="0" xfId="1" applyNumberFormat="1" applyFont="1" applyBorder="1"/>
    <xf numFmtId="0" fontId="28" fillId="0" borderId="0" xfId="0" applyFont="1"/>
    <xf numFmtId="0" fontId="29" fillId="0" borderId="0" xfId="0" applyFont="1"/>
    <xf numFmtId="0" fontId="29" fillId="4" borderId="0" xfId="0" applyFont="1" applyFill="1"/>
    <xf numFmtId="0" fontId="28" fillId="4" borderId="0" xfId="0" applyFont="1" applyFill="1"/>
    <xf numFmtId="0" fontId="11" fillId="5" borderId="34" xfId="0" applyFont="1" applyFill="1" applyBorder="1" applyAlignment="1">
      <alignment horizontal="left" vertical="center"/>
    </xf>
    <xf numFmtId="168" fontId="11" fillId="5" borderId="34" xfId="0" applyNumberFormat="1" applyFont="1" applyFill="1" applyBorder="1" applyAlignment="1">
      <alignment horizontal="right" vertical="center"/>
    </xf>
    <xf numFmtId="169" fontId="11" fillId="5" borderId="34" xfId="0" applyNumberFormat="1" applyFont="1" applyFill="1" applyBorder="1" applyAlignment="1">
      <alignment horizontal="right" vertical="center"/>
    </xf>
    <xf numFmtId="169" fontId="11" fillId="5" borderId="34" xfId="0" applyNumberFormat="1" applyFont="1" applyFill="1" applyBorder="1" applyAlignment="1">
      <alignment vertical="center"/>
    </xf>
    <xf numFmtId="49" fontId="11" fillId="5" borderId="34" xfId="0" applyNumberFormat="1" applyFont="1" applyFill="1" applyBorder="1" applyAlignment="1">
      <alignment vertical="center"/>
    </xf>
    <xf numFmtId="170" fontId="11" fillId="5" borderId="34" xfId="0" applyNumberFormat="1" applyFont="1" applyFill="1" applyBorder="1" applyAlignment="1">
      <alignment vertical="center"/>
    </xf>
    <xf numFmtId="0" fontId="0" fillId="0" borderId="0" xfId="0" applyAlignment="1">
      <alignment vertical="center"/>
    </xf>
    <xf numFmtId="168" fontId="5" fillId="0" borderId="0" xfId="0" applyNumberFormat="1" applyFont="1" applyAlignment="1">
      <alignment horizontal="left"/>
    </xf>
    <xf numFmtId="49" fontId="5" fillId="0" borderId="0" xfId="0" applyNumberFormat="1" applyFont="1" applyAlignment="1">
      <alignment horizontal="left"/>
    </xf>
    <xf numFmtId="174" fontId="5" fillId="0" borderId="0" xfId="0" applyNumberFormat="1" applyFont="1" applyAlignment="1">
      <alignment horizontal="left"/>
    </xf>
    <xf numFmtId="0" fontId="0" fillId="0" borderId="0" xfId="0" quotePrefix="1"/>
    <xf numFmtId="0" fontId="11" fillId="5" borderId="34" xfId="0" applyFont="1" applyFill="1" applyBorder="1" applyAlignment="1">
      <alignment horizontal="left" vertical="top"/>
    </xf>
    <xf numFmtId="175" fontId="11" fillId="5" borderId="34" xfId="0" applyNumberFormat="1" applyFont="1" applyFill="1" applyBorder="1" applyAlignment="1">
      <alignment horizontal="right" vertical="top"/>
    </xf>
    <xf numFmtId="0" fontId="1" fillId="5" borderId="19" xfId="0" applyFont="1" applyFill="1" applyBorder="1" applyAlignment="1">
      <alignment horizontal="center"/>
    </xf>
    <xf numFmtId="0" fontId="5" fillId="0" borderId="0" xfId="0" applyFont="1" applyAlignment="1">
      <alignment horizontal="left" vertical="top"/>
    </xf>
    <xf numFmtId="175" fontId="5" fillId="0" borderId="0" xfId="0" applyNumberFormat="1" applyFont="1" applyAlignment="1">
      <alignment horizontal="right" vertical="top"/>
    </xf>
    <xf numFmtId="170" fontId="5" fillId="0" borderId="0" xfId="0" applyNumberFormat="1" applyFont="1" applyAlignment="1">
      <alignment horizontal="right" vertical="top"/>
    </xf>
    <xf numFmtId="0" fontId="5" fillId="0" borderId="24" xfId="0" applyFont="1" applyBorder="1"/>
    <xf numFmtId="43" fontId="17" fillId="0" borderId="3" xfId="2" applyFont="1" applyBorder="1" applyAlignment="1">
      <alignment horizontal="right"/>
    </xf>
    <xf numFmtId="0" fontId="5" fillId="0" borderId="25" xfId="0" applyFont="1" applyBorder="1" applyAlignment="1">
      <alignment horizontal="left"/>
    </xf>
    <xf numFmtId="0" fontId="17" fillId="0" borderId="18" xfId="0" applyFont="1" applyBorder="1" applyAlignment="1">
      <alignment horizontal="left"/>
    </xf>
    <xf numFmtId="0" fontId="21" fillId="7" borderId="21" xfId="0" applyFont="1" applyFill="1" applyBorder="1"/>
    <xf numFmtId="171" fontId="30" fillId="0" borderId="0" xfId="0" applyNumberFormat="1" applyFont="1"/>
    <xf numFmtId="0" fontId="0" fillId="3" borderId="24" xfId="0" applyFill="1" applyBorder="1" applyAlignment="1">
      <alignment horizontal="left" vertical="center" indent="1"/>
    </xf>
    <xf numFmtId="0" fontId="1" fillId="2" borderId="0" xfId="0" applyFont="1" applyFill="1" applyAlignment="1">
      <alignment horizontal="center"/>
    </xf>
    <xf numFmtId="0" fontId="23" fillId="0" borderId="0" xfId="0" applyFont="1" applyAlignment="1">
      <alignment horizontal="left" vertical="center"/>
    </xf>
    <xf numFmtId="0" fontId="23" fillId="0" borderId="18" xfId="0" applyFont="1" applyBorder="1" applyAlignment="1">
      <alignment horizontal="left" vertical="center"/>
    </xf>
    <xf numFmtId="0" fontId="16" fillId="4" borderId="0" xfId="0" applyFont="1" applyFill="1" applyAlignment="1">
      <alignment horizontal="left"/>
    </xf>
    <xf numFmtId="0" fontId="16" fillId="4" borderId="5" xfId="0" applyFont="1" applyFill="1" applyBorder="1" applyAlignment="1">
      <alignment horizontal="left"/>
    </xf>
    <xf numFmtId="0" fontId="21" fillId="7" borderId="10" xfId="0" applyFont="1" applyFill="1" applyBorder="1" applyAlignment="1">
      <alignment horizontal="left"/>
    </xf>
    <xf numFmtId="0" fontId="21" fillId="7" borderId="11" xfId="0" applyFont="1" applyFill="1" applyBorder="1" applyAlignment="1">
      <alignment horizontal="left"/>
    </xf>
    <xf numFmtId="0" fontId="21" fillId="7" borderId="12" xfId="0" applyFont="1" applyFill="1" applyBorder="1" applyAlignment="1">
      <alignment horizontal="left"/>
    </xf>
    <xf numFmtId="0" fontId="21" fillId="7" borderId="13" xfId="0" applyFont="1" applyFill="1" applyBorder="1" applyAlignment="1">
      <alignment horizontal="left"/>
    </xf>
    <xf numFmtId="0" fontId="21" fillId="7" borderId="14" xfId="0" applyFont="1" applyFill="1" applyBorder="1" applyAlignment="1">
      <alignment horizontal="left"/>
    </xf>
    <xf numFmtId="0" fontId="8" fillId="0" borderId="0" xfId="0" applyFont="1" applyAlignment="1">
      <alignment horizontal="left"/>
    </xf>
    <xf numFmtId="0" fontId="9" fillId="0" borderId="0" xfId="0" applyFont="1" applyAlignment="1">
      <alignment horizontal="left"/>
    </xf>
    <xf numFmtId="0" fontId="9" fillId="0" borderId="16" xfId="0" applyFont="1" applyBorder="1" applyAlignment="1">
      <alignment horizontal="left"/>
    </xf>
    <xf numFmtId="173" fontId="5" fillId="0" borderId="0" xfId="0" applyNumberFormat="1" applyFont="1" applyAlignment="1">
      <alignment horizontal="right"/>
    </xf>
    <xf numFmtId="10" fontId="5" fillId="0" borderId="0" xfId="1" applyNumberFormat="1" applyFont="1" applyAlignment="1">
      <alignment horizontal="right"/>
    </xf>
    <xf numFmtId="0" fontId="7" fillId="0" borderId="0" xfId="0" applyFont="1" applyAlignment="1">
      <alignment horizontal="left" vertical="center" wrapText="1"/>
    </xf>
    <xf numFmtId="0" fontId="5" fillId="0" borderId="17" xfId="0" applyFont="1" applyBorder="1" applyAlignment="1">
      <alignment horizontal="left" vertical="center" wrapText="1"/>
    </xf>
    <xf numFmtId="0" fontId="5" fillId="0" borderId="0" xfId="0" applyFont="1" applyAlignment="1">
      <alignment horizontal="left" vertical="center" wrapText="1"/>
    </xf>
    <xf numFmtId="0" fontId="5" fillId="0" borderId="0" xfId="0" applyFont="1" applyAlignment="1">
      <alignment horizontal="left"/>
    </xf>
    <xf numFmtId="0" fontId="5" fillId="0" borderId="33" xfId="0" applyFont="1" applyBorder="1" applyAlignment="1">
      <alignment horizontal="left" wrapText="1"/>
    </xf>
    <xf numFmtId="0" fontId="1" fillId="4" borderId="18" xfId="0" applyFont="1" applyFill="1" applyBorder="1" applyAlignment="1">
      <alignment horizontal="center"/>
    </xf>
    <xf numFmtId="0" fontId="1" fillId="0" borderId="19" xfId="0" applyFont="1" applyFill="1" applyBorder="1" applyAlignment="1">
      <alignment horizontal="left"/>
    </xf>
    <xf numFmtId="168" fontId="5" fillId="0" borderId="0" xfId="0" applyNumberFormat="1" applyFont="1" applyFill="1" applyBorder="1" applyAlignment="1">
      <alignment horizontal="left"/>
    </xf>
    <xf numFmtId="168" fontId="5" fillId="0" borderId="0" xfId="0" applyNumberFormat="1" applyFont="1" applyFill="1" applyBorder="1" applyAlignment="1">
      <alignment horizontal="right"/>
    </xf>
    <xf numFmtId="10" fontId="5" fillId="0" borderId="0" xfId="0" applyNumberFormat="1" applyFont="1" applyFill="1" applyBorder="1" applyAlignment="1">
      <alignment horizontal="right"/>
    </xf>
    <xf numFmtId="172" fontId="5" fillId="0" borderId="0" xfId="0" applyNumberFormat="1" applyFont="1" applyFill="1" applyBorder="1" applyAlignment="1">
      <alignment horizontal="right"/>
    </xf>
    <xf numFmtId="0" fontId="5" fillId="0" borderId="0" xfId="0" applyFont="1" applyFill="1" applyBorder="1" applyAlignment="1">
      <alignment horizontal="left" vertical="top"/>
    </xf>
    <xf numFmtId="0" fontId="11" fillId="0" borderId="0" xfId="0" applyFont="1" applyFill="1" applyBorder="1" applyAlignment="1">
      <alignment horizontal="left" vertical="top"/>
    </xf>
    <xf numFmtId="0" fontId="5" fillId="0" borderId="34" xfId="0" applyFont="1" applyFill="1" applyBorder="1" applyAlignment="1">
      <alignment horizontal="left" vertical="top"/>
    </xf>
    <xf numFmtId="0" fontId="0" fillId="0" borderId="0" xfId="0" applyBorder="1"/>
    <xf numFmtId="175" fontId="11" fillId="0" borderId="0" xfId="0" applyNumberFormat="1" applyFont="1" applyFill="1" applyBorder="1" applyAlignment="1">
      <alignment horizontal="right" vertical="top"/>
    </xf>
    <xf numFmtId="175" fontId="5" fillId="0" borderId="0" xfId="0" applyNumberFormat="1" applyFont="1" applyFill="1" applyBorder="1" applyAlignment="1">
      <alignment horizontal="right" vertical="top"/>
    </xf>
    <xf numFmtId="0" fontId="0" fillId="0" borderId="0" xfId="0" applyFill="1" applyBorder="1"/>
    <xf numFmtId="170" fontId="5" fillId="0" borderId="0" xfId="0" applyNumberFormat="1" applyFont="1" applyFill="1" applyBorder="1" applyAlignment="1">
      <alignment horizontal="right" vertical="top"/>
    </xf>
    <xf numFmtId="175" fontId="5" fillId="0" borderId="34" xfId="0" applyNumberFormat="1" applyFont="1" applyFill="1" applyBorder="1" applyAlignment="1">
      <alignment horizontal="right" vertical="top"/>
    </xf>
    <xf numFmtId="0" fontId="5" fillId="0" borderId="0" xfId="0" applyFont="1" applyFill="1" applyBorder="1"/>
    <xf numFmtId="0" fontId="5" fillId="0" borderId="34" xfId="0" applyFont="1" applyFill="1" applyBorder="1" applyAlignment="1">
      <alignment horizontal="left" vertical="center"/>
    </xf>
    <xf numFmtId="168" fontId="5" fillId="0" borderId="34" xfId="0" applyNumberFormat="1" applyFont="1" applyFill="1" applyBorder="1" applyAlignment="1">
      <alignment horizontal="right" vertical="center"/>
    </xf>
    <xf numFmtId="169" fontId="5" fillId="0" borderId="34" xfId="0" applyNumberFormat="1" applyFont="1" applyFill="1" applyBorder="1" applyAlignment="1">
      <alignment horizontal="right" vertical="center"/>
    </xf>
    <xf numFmtId="49" fontId="5" fillId="0" borderId="34" xfId="0" applyNumberFormat="1" applyFont="1" applyFill="1" applyBorder="1" applyAlignment="1">
      <alignment vertical="center"/>
    </xf>
    <xf numFmtId="170" fontId="5" fillId="0" borderId="34" xfId="0" applyNumberFormat="1" applyFont="1" applyFill="1" applyBorder="1" applyAlignment="1">
      <alignment vertical="center"/>
    </xf>
    <xf numFmtId="169" fontId="5" fillId="0" borderId="34" xfId="0" applyNumberFormat="1" applyFont="1" applyFill="1" applyBorder="1" applyAlignment="1">
      <alignment vertical="center"/>
    </xf>
    <xf numFmtId="0" fontId="11" fillId="5" borderId="34" xfId="0" applyFont="1" applyFill="1" applyBorder="1" applyAlignment="1">
      <alignment vertical="center"/>
    </xf>
    <xf numFmtId="0" fontId="5" fillId="0" borderId="34" xfId="0" applyFont="1" applyFill="1" applyBorder="1" applyAlignment="1">
      <alignment horizontal="left" vertical="top"/>
    </xf>
    <xf numFmtId="0" fontId="5" fillId="0" borderId="34" xfId="0" applyFont="1" applyFill="1" applyBorder="1" applyAlignment="1">
      <alignment horizontal="left" vertical="top" wrapText="1"/>
    </xf>
    <xf numFmtId="0" fontId="5" fillId="0" borderId="0" xfId="0" applyFont="1" applyAlignment="1"/>
    <xf numFmtId="0" fontId="31" fillId="0" borderId="19" xfId="0" applyFont="1" applyFill="1" applyBorder="1" applyAlignment="1">
      <alignment horizontal="center"/>
    </xf>
    <xf numFmtId="0" fontId="32" fillId="0" borderId="19" xfId="0" applyFont="1" applyFill="1" applyBorder="1" applyAlignment="1">
      <alignment horizontal="left"/>
    </xf>
    <xf numFmtId="168" fontId="33" fillId="0" borderId="0" xfId="0" applyNumberFormat="1" applyFont="1" applyFill="1" applyBorder="1" applyAlignment="1">
      <alignment horizontal="right"/>
    </xf>
    <xf numFmtId="10" fontId="33" fillId="0" borderId="0" xfId="0" applyNumberFormat="1" applyFont="1" applyFill="1" applyBorder="1" applyAlignment="1">
      <alignment horizontal="right"/>
    </xf>
    <xf numFmtId="172" fontId="33" fillId="0" borderId="0" xfId="0" applyNumberFormat="1" applyFont="1" applyFill="1" applyBorder="1" applyAlignment="1">
      <alignment horizontal="right"/>
    </xf>
    <xf numFmtId="0" fontId="0" fillId="0" borderId="0" xfId="0" applyFill="1"/>
    <xf numFmtId="0" fontId="9" fillId="0" borderId="0" xfId="0" applyFont="1" applyFill="1"/>
    <xf numFmtId="0" fontId="34" fillId="0" borderId="0" xfId="0" applyFont="1" applyFill="1"/>
    <xf numFmtId="0" fontId="33" fillId="0" borderId="0" xfId="0" applyFont="1" applyFill="1"/>
    <xf numFmtId="0" fontId="5" fillId="0" borderId="0" xfId="0" applyFont="1" applyBorder="1"/>
    <xf numFmtId="173" fontId="5" fillId="0" borderId="0" xfId="0" applyNumberFormat="1" applyFont="1" applyAlignment="1"/>
    <xf numFmtId="10" fontId="5" fillId="0" borderId="0" xfId="1" applyNumberFormat="1" applyFont="1" applyAlignment="1"/>
    <xf numFmtId="2" fontId="5" fillId="0" borderId="0" xfId="1" applyNumberFormat="1" applyFont="1" applyAlignment="1"/>
    <xf numFmtId="14" fontId="5" fillId="0" borderId="0" xfId="0" applyNumberFormat="1" applyFont="1" applyAlignment="1"/>
    <xf numFmtId="0" fontId="9" fillId="0" borderId="0" xfId="0" applyFont="1" applyBorder="1" applyAlignment="1">
      <alignment horizontal="left"/>
    </xf>
    <xf numFmtId="0" fontId="5" fillId="0" borderId="0" xfId="0" applyFont="1" applyBorder="1" applyAlignment="1"/>
    <xf numFmtId="0" fontId="5" fillId="0" borderId="0" xfId="0" applyFont="1" applyBorder="1" applyAlignment="1">
      <alignment horizontal="left" vertical="center" wrapText="1"/>
    </xf>
    <xf numFmtId="0" fontId="5" fillId="0" borderId="0" xfId="0" applyFont="1" applyFill="1" applyAlignment="1">
      <alignment horizontal="right"/>
    </xf>
    <xf numFmtId="2" fontId="5" fillId="0" borderId="0" xfId="0" applyNumberFormat="1" applyFont="1" applyFill="1" applyAlignment="1" applyProtection="1">
      <alignment horizontal="right"/>
      <protection locked="0"/>
    </xf>
    <xf numFmtId="0" fontId="5" fillId="0" borderId="0" xfId="0" applyFont="1" applyFill="1"/>
    <xf numFmtId="0" fontId="5" fillId="0" borderId="0" xfId="0" applyFont="1" applyFill="1" applyAlignment="1">
      <alignment horizontal="center"/>
    </xf>
    <xf numFmtId="0" fontId="17" fillId="0" borderId="0" xfId="0" applyFont="1" applyFill="1" applyProtection="1">
      <protection locked="0"/>
    </xf>
    <xf numFmtId="2" fontId="5" fillId="0" borderId="0" xfId="0" applyNumberFormat="1" applyFont="1" applyFill="1" applyProtection="1">
      <protection locked="0"/>
    </xf>
    <xf numFmtId="0" fontId="5" fillId="0" borderId="35" xfId="0" applyFont="1" applyFill="1" applyBorder="1" applyAlignment="1">
      <alignment horizontal="left" vertical="center"/>
    </xf>
    <xf numFmtId="168" fontId="5" fillId="0" borderId="35" xfId="0" applyNumberFormat="1" applyFont="1" applyFill="1" applyBorder="1" applyAlignment="1">
      <alignment horizontal="right" vertical="center"/>
    </xf>
    <xf numFmtId="169" fontId="5" fillId="0" borderId="35" xfId="0" applyNumberFormat="1" applyFont="1" applyFill="1" applyBorder="1" applyAlignment="1">
      <alignment horizontal="right" vertical="center"/>
    </xf>
    <xf numFmtId="49" fontId="5" fillId="0" borderId="35" xfId="0" applyNumberFormat="1" applyFont="1" applyFill="1" applyBorder="1" applyAlignment="1">
      <alignment vertical="center"/>
    </xf>
    <xf numFmtId="170" fontId="5" fillId="0" borderId="35" xfId="0" applyNumberFormat="1" applyFont="1" applyFill="1" applyBorder="1" applyAlignment="1">
      <alignment vertical="center"/>
    </xf>
    <xf numFmtId="169" fontId="5" fillId="0" borderId="35" xfId="0" applyNumberFormat="1" applyFont="1" applyFill="1" applyBorder="1" applyAlignment="1">
      <alignment vertical="center"/>
    </xf>
    <xf numFmtId="0" fontId="5" fillId="0" borderId="0" xfId="0" applyFont="1" applyFill="1" applyBorder="1" applyAlignment="1">
      <alignment vertical="center"/>
    </xf>
    <xf numFmtId="173" fontId="5" fillId="0" borderId="0" xfId="0" applyNumberFormat="1" applyFont="1" applyBorder="1" applyAlignment="1"/>
    <xf numFmtId="10" fontId="5" fillId="0" borderId="0" xfId="1" applyNumberFormat="1" applyFont="1" applyBorder="1" applyAlignment="1"/>
    <xf numFmtId="2" fontId="5" fillId="0" borderId="0" xfId="1" applyNumberFormat="1" applyFont="1" applyBorder="1" applyAlignment="1"/>
    <xf numFmtId="14" fontId="5" fillId="0" borderId="0" xfId="0" applyNumberFormat="1" applyFont="1" applyBorder="1" applyAlignment="1"/>
    <xf numFmtId="0" fontId="9" fillId="0" borderId="0" xfId="0" applyFont="1" applyFill="1" applyBorder="1" applyAlignment="1">
      <alignment horizontal="left"/>
    </xf>
    <xf numFmtId="0" fontId="11" fillId="9" borderId="0" xfId="0" applyFont="1" applyFill="1" applyBorder="1"/>
    <xf numFmtId="0" fontId="5" fillId="9" borderId="0" xfId="0" applyFont="1" applyFill="1" applyBorder="1"/>
    <xf numFmtId="0" fontId="5" fillId="9" borderId="0" xfId="0" applyFont="1" applyFill="1" applyBorder="1" applyAlignment="1">
      <alignment horizontal="left"/>
    </xf>
    <xf numFmtId="0" fontId="11" fillId="9" borderId="0" xfId="0" applyFont="1" applyFill="1"/>
    <xf numFmtId="173" fontId="5" fillId="9" borderId="0" xfId="0" applyNumberFormat="1" applyFont="1" applyFill="1" applyAlignment="1"/>
    <xf numFmtId="2" fontId="5" fillId="9" borderId="0" xfId="1" applyNumberFormat="1" applyFont="1" applyFill="1" applyAlignment="1"/>
    <xf numFmtId="14" fontId="5" fillId="9" borderId="0" xfId="0" applyNumberFormat="1" applyFont="1" applyFill="1" applyAlignment="1"/>
    <xf numFmtId="0" fontId="0" fillId="9" borderId="0" xfId="0" applyFill="1"/>
    <xf numFmtId="0" fontId="5" fillId="9" borderId="0" xfId="0" applyFont="1" applyFill="1"/>
    <xf numFmtId="1" fontId="5" fillId="9" borderId="0" xfId="0" applyNumberFormat="1" applyFont="1" applyFill="1" applyAlignment="1">
      <alignment horizontal="right"/>
    </xf>
    <xf numFmtId="173" fontId="5" fillId="9" borderId="0" xfId="0" applyNumberFormat="1" applyFont="1" applyFill="1" applyAlignment="1">
      <alignment horizontal="right"/>
    </xf>
    <xf numFmtId="0" fontId="11" fillId="9" borderId="36" xfId="0" applyFont="1" applyFill="1" applyBorder="1" applyAlignment="1">
      <alignment horizontal="center"/>
    </xf>
    <xf numFmtId="0" fontId="5" fillId="9" borderId="0" xfId="0" applyFont="1" applyFill="1" applyBorder="1" applyAlignment="1">
      <alignment horizontal="center"/>
    </xf>
    <xf numFmtId="0" fontId="0" fillId="9" borderId="0" xfId="0" applyFill="1" applyBorder="1"/>
    <xf numFmtId="0" fontId="5" fillId="4" borderId="0" xfId="0" applyFont="1" applyFill="1" applyBorder="1" applyAlignment="1"/>
    <xf numFmtId="0" fontId="5" fillId="4" borderId="0" xfId="0" applyFont="1" applyFill="1" applyBorder="1"/>
    <xf numFmtId="0" fontId="5" fillId="9" borderId="0" xfId="0" applyFont="1" applyFill="1" applyBorder="1" applyAlignment="1">
      <alignment horizontal="left" vertical="center" indent="1"/>
    </xf>
    <xf numFmtId="177" fontId="5" fillId="9" borderId="0" xfId="0" applyNumberFormat="1" applyFont="1" applyFill="1" applyBorder="1" applyAlignment="1">
      <alignment horizontal="right" vertical="center"/>
    </xf>
    <xf numFmtId="168" fontId="5" fillId="9" borderId="0" xfId="0" applyNumberFormat="1" applyFont="1" applyFill="1" applyBorder="1" applyAlignment="1">
      <alignment horizontal="right" vertical="center"/>
    </xf>
    <xf numFmtId="170" fontId="5" fillId="9" borderId="0" xfId="0" applyNumberFormat="1" applyFont="1" applyFill="1" applyBorder="1" applyAlignment="1">
      <alignment horizontal="right" vertical="center"/>
    </xf>
    <xf numFmtId="169" fontId="5" fillId="9" borderId="0" xfId="0" applyNumberFormat="1" applyFont="1" applyFill="1" applyBorder="1" applyAlignment="1">
      <alignment vertical="center"/>
    </xf>
    <xf numFmtId="170" fontId="5" fillId="9" borderId="0" xfId="0" applyNumberFormat="1" applyFont="1" applyFill="1" applyBorder="1" applyAlignment="1">
      <alignment vertical="center"/>
    </xf>
    <xf numFmtId="169" fontId="5" fillId="9" borderId="0" xfId="0" applyNumberFormat="1" applyFont="1" applyFill="1" applyBorder="1" applyAlignment="1">
      <alignment horizontal="right" vertical="center"/>
    </xf>
    <xf numFmtId="0" fontId="11" fillId="9" borderId="36" xfId="0" applyFont="1" applyFill="1" applyBorder="1" applyAlignment="1">
      <alignment horizontal="right"/>
    </xf>
    <xf numFmtId="0" fontId="33" fillId="0" borderId="0" xfId="0" applyFont="1" applyBorder="1" applyAlignment="1">
      <alignment horizontal="left" vertical="center" wrapText="1"/>
    </xf>
    <xf numFmtId="0" fontId="35" fillId="0" borderId="0" xfId="0" applyFont="1" applyBorder="1" applyAlignment="1">
      <alignment horizontal="left" vertical="center" wrapText="1"/>
    </xf>
    <xf numFmtId="0" fontId="5" fillId="9" borderId="37" xfId="0" applyFont="1" applyFill="1" applyBorder="1" applyAlignment="1"/>
    <xf numFmtId="0" fontId="35" fillId="0" borderId="0" xfId="0" applyFont="1" applyBorder="1" applyAlignment="1">
      <alignment horizontal="left" vertical="top" wrapText="1"/>
    </xf>
    <xf numFmtId="0" fontId="36" fillId="0" borderId="0" xfId="0" applyFont="1" applyBorder="1" applyAlignment="1">
      <alignment horizontal="left" vertical="center" indent="1"/>
    </xf>
    <xf numFmtId="8" fontId="5" fillId="0" borderId="0" xfId="0" applyNumberFormat="1" applyFont="1" applyFill="1" applyBorder="1" applyAlignment="1">
      <alignment vertical="center"/>
    </xf>
    <xf numFmtId="0" fontId="5" fillId="0" borderId="0" xfId="0" applyFont="1" applyFill="1" applyAlignment="1">
      <alignment vertical="center"/>
    </xf>
    <xf numFmtId="6" fontId="5" fillId="0" borderId="0" xfId="0" applyNumberFormat="1" applyFont="1" applyFill="1" applyAlignment="1">
      <alignment vertical="center"/>
    </xf>
    <xf numFmtId="0" fontId="5" fillId="9" borderId="0" xfId="0" applyFont="1" applyFill="1" applyBorder="1" applyAlignment="1">
      <alignment horizontal="right"/>
    </xf>
    <xf numFmtId="0" fontId="11" fillId="0" borderId="38" xfId="0" applyFont="1" applyBorder="1" applyAlignment="1">
      <alignment horizontal="left" vertical="center" wrapText="1"/>
    </xf>
    <xf numFmtId="0" fontId="35" fillId="0" borderId="38" xfId="0" applyFont="1" applyBorder="1" applyAlignment="1">
      <alignment horizontal="left" vertical="center" wrapText="1"/>
    </xf>
    <xf numFmtId="0" fontId="35" fillId="0" borderId="0" xfId="0" applyFont="1" applyAlignment="1">
      <alignment horizontal="left" vertical="center" wrapText="1"/>
    </xf>
    <xf numFmtId="0" fontId="11" fillId="9" borderId="36" xfId="0" applyFont="1" applyFill="1" applyBorder="1" applyAlignment="1">
      <alignment horizontal="left"/>
    </xf>
  </cellXfs>
  <cellStyles count="3">
    <cellStyle name="Comma" xfId="2" builtinId="3"/>
    <cellStyle name="Normal" xfId="0" builtinId="0"/>
    <cellStyle name="Percent" xfId="1" builtinId="5"/>
  </cellStyles>
  <dxfs count="18">
    <dxf>
      <font>
        <b/>
        <i val="0"/>
        <strike val="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00B050"/>
      </font>
    </dxf>
    <dxf>
      <alignment horizontal="general" vertical="bottom" textRotation="0" wrapText="1" indent="0" justifyLastLine="0" shrinkToFit="0" readingOrder="0"/>
    </dxf>
    <dxf>
      <font>
        <b/>
        <i val="0"/>
        <strike val="0"/>
        <condense val="0"/>
        <extend val="0"/>
        <outline val="0"/>
        <shadow val="0"/>
        <u val="none"/>
        <vertAlign val="baseline"/>
        <sz val="11"/>
        <color theme="1"/>
        <name val="Aptos Narrow"/>
        <family val="2"/>
        <scheme val="minor"/>
      </font>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9F9F9"/>
      <color rgb="FFF5F5F5"/>
      <color rgb="FFCCECFF"/>
      <color rgb="FF0000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Requesting Data...2577587965</v>
        <stp/>
        <stp>BQL|15980248231752667951</stp>
        <tr r="B5" s="8"/>
      </tp>
      <tp t="s">
        <v>#N/A N/A</v>
        <stp/>
        <stp>BQL|16130740811889487742</stp>
        <tr r="G25" s="8"/>
      </tp>
      <tp t="s">
        <v>#N/A N/A</v>
        <stp/>
        <stp>BQL|16637903669980754716</stp>
        <tr r="G27" s="8"/>
      </tp>
      <tp t="s">
        <v>#N/A Requesting Data...3260984377</v>
        <stp/>
        <stp>BQL|17658823669211535536</stp>
        <tr r="B7" s="8"/>
      </tp>
      <tp t="s">
        <v>#N/A Requesting Data...3448790000</v>
        <stp/>
        <stp>BQL|16249308433818251391</stp>
        <tr r="B11" s="8"/>
      </tp>
    </main>
    <main first="bofaddin.rtdserver">
      <tp t="s">
        <v>#N/A Requesting Data...3261497241</v>
        <stp/>
        <stp>BQL|17128232395083320366</stp>
        <tr r="B12" s="8"/>
      </tp>
    </main>
    <main first="bofaddin.rtdserver">
      <tp t="s">
        <v>#N/A Requesting Data...2750012061</v>
        <stp/>
        <stp>BQL|14162147677918466059</stp>
        <tr r="B14" s="8"/>
      </tp>
    </main>
    <main first="bofaddin.rtdserver">
      <tp t="s">
        <v>#N/A N/A</v>
        <stp/>
        <stp>BQL|16920995818874192297</stp>
        <tr r="G26" s="8"/>
      </tp>
      <tp t="s">
        <v>#N/A Requesting Data...3186011192</v>
        <stp/>
        <stp>BQL|11625504394292717783</stp>
        <tr r="B13" s="8"/>
      </tp>
    </main>
    <main first="bofaddin.rtdserver">
      <tp t="s">
        <v>#N/A Requesting Data...2801910863</v>
        <stp/>
        <stp>BQL|12066883855918868027</stp>
        <tr r="B19" s="8"/>
      </tp>
      <tp t="s">
        <v>#N/A Requesting Data...3634363441</v>
        <stp/>
        <stp>BQL|17185909875436576876</stp>
        <tr r="B31" s="8"/>
      </tp>
      <tp t="s">
        <v>#N/A Requesting Data...3409896981</v>
        <stp/>
        <stp>BQL|15822731954217597687</stp>
        <tr r="B10" s="8"/>
      </tp>
      <tp t="s">
        <v>#N/A N/A</v>
        <stp/>
        <stp>BQL|12232059315001538485</stp>
        <tr r="G28" s="8"/>
      </tp>
      <tp t="s">
        <v>#N/A N/A</v>
        <stp/>
        <stp>BQL|13308293455741621319</stp>
        <tr r="H4" s="8"/>
      </tp>
    </main>
    <main first="bofaddin.rtdserver">
      <tp t="s">
        <v>#N/A Requesting Data...3824445043</v>
        <stp/>
        <stp>BQL|18292700680205465671</stp>
        <tr r="B30" s="8"/>
      </tp>
      <tp t="s">
        <v>#N/A N/A</v>
        <stp/>
        <stp>BQL|12762268709646705580</stp>
        <tr r="H3" s="8"/>
      </tp>
      <tp t="s">
        <v>#N/A Requesting Data...3407830801</v>
        <stp/>
        <stp>BQL|14814671731235928777</stp>
        <tr r="B4" s="8"/>
      </tp>
      <tp t="s">
        <v>#N/A Requesting Data...2649292555</v>
        <stp/>
        <stp>BQL|16665398045915365774</stp>
        <tr r="B28" s="8"/>
      </tp>
    </main>
    <main first="bofaddin.rtdserver">
      <tp t="s">
        <v>#N/A Requesting Data...2963675653</v>
        <stp/>
        <stp>BQL|17311320820242851533</stp>
        <tr r="B29" s="8"/>
      </tp>
      <tp t="s">
        <v>#N/A Requesting Data...2516283504</v>
        <stp/>
        <stp>BQL|11703576753569125804</stp>
        <tr r="B8" s="8"/>
      </tp>
      <tp t="s">
        <v>#N/A N/A</v>
        <stp/>
        <stp>BQL|13339019118557183506</stp>
        <tr r="H6" s="8"/>
      </tp>
      <tp>
        <v>0.11820600181818008</v>
        <stp/>
        <stp>BDP|17784346434765474236|22</stp>
        <stp>MSFT US 03/20/26 C550 Equity</stp>
        <stp>DELTA_MID_RT</stp>
        <tr r="Q6" s="8"/>
      </tp>
      <tp t="s">
        <v>#N/A Requesting Data...2780552550</v>
        <stp/>
        <stp>BDP|12270799450226811823</stp>
        <tr r="B22" s="8"/>
      </tp>
      <tp t="s">
        <v>#N/A Requesting Data...3020135662</v>
        <stp/>
        <stp>BDP|18148214224866948346</stp>
        <tr r="B20" s="8"/>
        <tr r="B20" s="8"/>
      </tp>
      <tp t="s">
        <v>#N/A Requesting Data...4135494571</v>
        <stp/>
        <stp>BDP|10301197568982574764</stp>
        <tr r="B21" s="8"/>
        <tr r="B21" s="8"/>
      </tp>
      <tp t="s">
        <v>#N/A Requesting Data...3406221034</v>
        <stp/>
        <stp>BDP|11495161815816280795</stp>
        <tr r="B25" s="8"/>
      </tp>
      <tp t="b">
        <v>0</v>
        <stp/>
        <stp>BDS|12568944372355935838</stp>
        <tr r="B17" s="8"/>
      </tp>
      <tp>
        <v>-7.293199747800827E-2</v>
        <stp/>
        <stp>BDP|16402303290143825630|22</stp>
        <stp>MSFT US 03/20/26 P400 Equity</stp>
        <stp>DELTA_MID_RT</stp>
        <tr r="Q3" s="8"/>
      </tp>
      <tp t="b">
        <v>0</v>
        <stp/>
        <stp>BDS|16424465815501644791</stp>
        <tr r="B18" s="8"/>
      </tp>
    </main>
    <main first="bofaddin.rtdserver">
      <tp t="s">
        <v>#N/A Requesting Data...2555737671</v>
        <stp/>
        <stp>BQL|4988896648907699388</stp>
        <tr r="B3" s="8"/>
      </tp>
      <tp t="s">
        <v>#N/A N/A</v>
        <stp/>
        <stp>BQL|4035904464061640493</stp>
        <tr r="H5" s="8"/>
      </tp>
      <tp t="b">
        <v>0</v>
        <stp/>
        <stp>BDS|6438846832761664329</stp>
        <tr r="B16" s="8"/>
      </tp>
    </main>
    <main first="bofaddin.rtdserver">
      <tp t="s">
        <v>#N/A Requesting Data...3658398686</v>
        <stp/>
        <stp>BQL|1160124234841201710</stp>
        <tr r="B15" s="8"/>
      </tp>
      <tp t="s">
        <v>#N/A Requesting Data...3365559470</v>
        <stp/>
        <stp>BQL|6703275547452593275</stp>
        <tr r="B6" s="8"/>
      </tp>
      <tp t="s">
        <v>#N/A Requesting Data...2864483642</v>
        <stp/>
        <stp>BQL|8939384559208228452</stp>
        <tr r="B27" s="8"/>
      </tp>
    </main>
    <main first="bofaddin.rtdserver">
      <tp t="s">
        <v>#N/A Requesting Data...3953808276</v>
        <stp/>
        <stp>BQL|6558549134223312080</stp>
        <tr r="B9" s="8"/>
      </tp>
      <tp t="s">
        <v>#N/A Requesting Data...3663799149</v>
        <stp/>
        <stp>BDP|2456724963236622681</stp>
        <tr r="B26" s="8"/>
      </tp>
      <tp>
        <v>0.39017599821090698</v>
        <stp/>
        <stp>BDP|4627973802263269345|22</stp>
        <stp>MSFT US 03/20/26 C500 Equity</stp>
        <stp>DELTA_MID_RT</stp>
        <tr r="Q5" s="8"/>
      </tp>
    </main>
    <main first="bofaddin.rtdserver">
      <tp>
        <v>-0.26335498690605164</v>
        <stp/>
        <stp>BDP|3135239600239170243|22</stp>
        <stp>MSFT US 03/20/26 P450 Equity</stp>
        <stp>DELTA_MID_RT</stp>
        <tr r="Q4" s="8"/>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mj-lt"/>
                <a:ea typeface="+mn-ea"/>
                <a:cs typeface="+mn-cs"/>
              </a:defRPr>
            </a:pPr>
            <a:r>
              <a:rPr lang="en-US" sz="1200" b="0">
                <a:solidFill>
                  <a:sysClr val="windowText" lastClr="000000"/>
                </a:solidFill>
                <a:latin typeface="+mj-lt"/>
              </a:rPr>
              <a:t>Iron Condor on MSFT</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mj-lt"/>
              <a:ea typeface="+mn-ea"/>
              <a:cs typeface="+mn-cs"/>
            </a:defRPr>
          </a:pPr>
          <a:endParaRPr lang="en-US"/>
        </a:p>
      </c:txPr>
    </c:title>
    <c:autoTitleDeleted val="0"/>
    <c:plotArea>
      <c:layout>
        <c:manualLayout>
          <c:layoutTarget val="inner"/>
          <c:xMode val="edge"/>
          <c:yMode val="edge"/>
          <c:x val="0.10524982278675021"/>
          <c:y val="8.5118013929005129E-2"/>
          <c:w val="0.86871611395290915"/>
          <c:h val="0.82438533525789515"/>
        </c:manualLayout>
      </c:layout>
      <c:scatterChart>
        <c:scatterStyle val="lineMarker"/>
        <c:varyColors val="0"/>
        <c:ser>
          <c:idx val="0"/>
          <c:order val="0"/>
          <c:tx>
            <c:v>Options</c:v>
          </c:tx>
          <c:spPr>
            <a:ln w="25400" cap="rnd">
              <a:solidFill>
                <a:srgbClr val="0070C0"/>
              </a:solidFill>
              <a:round/>
            </a:ln>
            <a:effectLst/>
          </c:spPr>
          <c:marker>
            <c:symbol val="none"/>
          </c:marker>
          <c:xVal>
            <c:numRef>
              <c:f>Calc!$A$2:$A$304</c:f>
              <c:numCache>
                <c:formatCode>_(* #,##0.00_);_(* \(#,##0.00\);_(* "-"??_);_(@_)</c:formatCode>
                <c:ptCount val="303"/>
                <c:pt idx="0">
                  <c:v>0</c:v>
                </c:pt>
                <c:pt idx="1">
                  <c:v>4.79</c:v>
                </c:pt>
                <c:pt idx="2">
                  <c:v>9.59</c:v>
                </c:pt>
                <c:pt idx="3">
                  <c:v>14.38</c:v>
                </c:pt>
                <c:pt idx="4">
                  <c:v>19.170000000000002</c:v>
                </c:pt>
                <c:pt idx="5">
                  <c:v>23.96</c:v>
                </c:pt>
                <c:pt idx="6">
                  <c:v>28.76</c:v>
                </c:pt>
                <c:pt idx="7">
                  <c:v>33.549999999999997</c:v>
                </c:pt>
                <c:pt idx="8">
                  <c:v>38.340000000000003</c:v>
                </c:pt>
                <c:pt idx="9">
                  <c:v>43.14</c:v>
                </c:pt>
                <c:pt idx="10">
                  <c:v>47.93</c:v>
                </c:pt>
                <c:pt idx="11">
                  <c:v>52.72</c:v>
                </c:pt>
                <c:pt idx="12">
                  <c:v>57.51</c:v>
                </c:pt>
                <c:pt idx="13">
                  <c:v>62.31</c:v>
                </c:pt>
                <c:pt idx="14">
                  <c:v>67.099999999999994</c:v>
                </c:pt>
                <c:pt idx="15">
                  <c:v>71.89</c:v>
                </c:pt>
                <c:pt idx="16">
                  <c:v>76.680000000000007</c:v>
                </c:pt>
                <c:pt idx="17">
                  <c:v>81.48</c:v>
                </c:pt>
                <c:pt idx="18">
                  <c:v>86.27</c:v>
                </c:pt>
                <c:pt idx="19">
                  <c:v>91.06</c:v>
                </c:pt>
                <c:pt idx="20">
                  <c:v>95.86</c:v>
                </c:pt>
                <c:pt idx="21">
                  <c:v>100.65</c:v>
                </c:pt>
                <c:pt idx="22">
                  <c:v>105.44</c:v>
                </c:pt>
                <c:pt idx="23">
                  <c:v>110.23</c:v>
                </c:pt>
                <c:pt idx="24">
                  <c:v>115.03</c:v>
                </c:pt>
                <c:pt idx="25">
                  <c:v>119.82</c:v>
                </c:pt>
                <c:pt idx="26">
                  <c:v>124.61</c:v>
                </c:pt>
                <c:pt idx="27">
                  <c:v>129.41</c:v>
                </c:pt>
                <c:pt idx="28">
                  <c:v>134.19999999999999</c:v>
                </c:pt>
                <c:pt idx="29">
                  <c:v>138.99</c:v>
                </c:pt>
                <c:pt idx="30">
                  <c:v>143.78</c:v>
                </c:pt>
                <c:pt idx="31">
                  <c:v>148.58000000000001</c:v>
                </c:pt>
                <c:pt idx="32">
                  <c:v>153.37</c:v>
                </c:pt>
                <c:pt idx="33">
                  <c:v>158.16</c:v>
                </c:pt>
                <c:pt idx="34">
                  <c:v>162.96</c:v>
                </c:pt>
                <c:pt idx="35">
                  <c:v>167.75</c:v>
                </c:pt>
                <c:pt idx="36">
                  <c:v>172.54</c:v>
                </c:pt>
                <c:pt idx="37">
                  <c:v>177.33</c:v>
                </c:pt>
                <c:pt idx="38">
                  <c:v>182.13</c:v>
                </c:pt>
                <c:pt idx="39">
                  <c:v>186.92</c:v>
                </c:pt>
                <c:pt idx="40">
                  <c:v>191.71</c:v>
                </c:pt>
                <c:pt idx="41">
                  <c:v>196.5</c:v>
                </c:pt>
                <c:pt idx="42">
                  <c:v>201.3</c:v>
                </c:pt>
                <c:pt idx="43">
                  <c:v>206.09</c:v>
                </c:pt>
                <c:pt idx="44">
                  <c:v>210.88</c:v>
                </c:pt>
                <c:pt idx="45">
                  <c:v>215.68</c:v>
                </c:pt>
                <c:pt idx="46">
                  <c:v>220.47</c:v>
                </c:pt>
                <c:pt idx="47">
                  <c:v>225.26</c:v>
                </c:pt>
                <c:pt idx="48">
                  <c:v>230.05</c:v>
                </c:pt>
                <c:pt idx="49">
                  <c:v>234.85</c:v>
                </c:pt>
                <c:pt idx="50">
                  <c:v>239.64</c:v>
                </c:pt>
                <c:pt idx="51">
                  <c:v>244.43</c:v>
                </c:pt>
                <c:pt idx="52">
                  <c:v>249.23</c:v>
                </c:pt>
                <c:pt idx="53">
                  <c:v>254.02</c:v>
                </c:pt>
                <c:pt idx="54">
                  <c:v>258.81</c:v>
                </c:pt>
                <c:pt idx="55">
                  <c:v>263.60000000000002</c:v>
                </c:pt>
                <c:pt idx="56">
                  <c:v>268.39999999999998</c:v>
                </c:pt>
                <c:pt idx="57">
                  <c:v>273.19</c:v>
                </c:pt>
                <c:pt idx="58">
                  <c:v>277.98</c:v>
                </c:pt>
                <c:pt idx="59">
                  <c:v>282.77999999999997</c:v>
                </c:pt>
                <c:pt idx="60">
                  <c:v>287.57</c:v>
                </c:pt>
                <c:pt idx="61">
                  <c:v>292.36</c:v>
                </c:pt>
                <c:pt idx="62">
                  <c:v>297.14999999999998</c:v>
                </c:pt>
                <c:pt idx="63">
                  <c:v>301.95</c:v>
                </c:pt>
                <c:pt idx="64">
                  <c:v>306.74</c:v>
                </c:pt>
                <c:pt idx="65">
                  <c:v>311.52999999999997</c:v>
                </c:pt>
                <c:pt idx="66">
                  <c:v>316.32</c:v>
                </c:pt>
                <c:pt idx="67">
                  <c:v>321.12</c:v>
                </c:pt>
                <c:pt idx="68">
                  <c:v>325.91000000000003</c:v>
                </c:pt>
                <c:pt idx="69">
                  <c:v>330.7</c:v>
                </c:pt>
                <c:pt idx="70">
                  <c:v>335.5</c:v>
                </c:pt>
                <c:pt idx="71">
                  <c:v>340.29</c:v>
                </c:pt>
                <c:pt idx="72">
                  <c:v>345.08</c:v>
                </c:pt>
                <c:pt idx="73">
                  <c:v>349.87</c:v>
                </c:pt>
                <c:pt idx="74">
                  <c:v>354.67</c:v>
                </c:pt>
                <c:pt idx="75">
                  <c:v>359.46</c:v>
                </c:pt>
                <c:pt idx="76">
                  <c:v>364.25</c:v>
                </c:pt>
                <c:pt idx="77">
                  <c:v>369.05</c:v>
                </c:pt>
                <c:pt idx="78">
                  <c:v>373.84</c:v>
                </c:pt>
                <c:pt idx="79">
                  <c:v>378.63</c:v>
                </c:pt>
                <c:pt idx="80">
                  <c:v>383.42</c:v>
                </c:pt>
                <c:pt idx="81">
                  <c:v>388.22</c:v>
                </c:pt>
                <c:pt idx="82">
                  <c:v>393.01</c:v>
                </c:pt>
                <c:pt idx="83">
                  <c:v>397.8</c:v>
                </c:pt>
                <c:pt idx="84">
                  <c:v>400</c:v>
                </c:pt>
                <c:pt idx="85">
                  <c:v>402.6</c:v>
                </c:pt>
                <c:pt idx="86">
                  <c:v>407.39</c:v>
                </c:pt>
                <c:pt idx="87">
                  <c:v>412.18</c:v>
                </c:pt>
                <c:pt idx="88">
                  <c:v>416.97</c:v>
                </c:pt>
                <c:pt idx="89">
                  <c:v>421.77</c:v>
                </c:pt>
                <c:pt idx="90">
                  <c:v>426.56</c:v>
                </c:pt>
                <c:pt idx="91">
                  <c:v>431.35</c:v>
                </c:pt>
                <c:pt idx="92">
                  <c:v>436.14</c:v>
                </c:pt>
                <c:pt idx="93">
                  <c:v>440.94</c:v>
                </c:pt>
                <c:pt idx="94">
                  <c:v>445.73</c:v>
                </c:pt>
                <c:pt idx="95">
                  <c:v>450</c:v>
                </c:pt>
                <c:pt idx="96">
                  <c:v>450.52</c:v>
                </c:pt>
                <c:pt idx="97">
                  <c:v>455.32</c:v>
                </c:pt>
                <c:pt idx="98">
                  <c:v>460.11</c:v>
                </c:pt>
                <c:pt idx="99">
                  <c:v>464.9</c:v>
                </c:pt>
                <c:pt idx="100">
                  <c:v>469.69</c:v>
                </c:pt>
                <c:pt idx="101">
                  <c:v>474.49</c:v>
                </c:pt>
                <c:pt idx="102">
                  <c:v>479.28</c:v>
                </c:pt>
                <c:pt idx="103">
                  <c:v>484.07</c:v>
                </c:pt>
                <c:pt idx="104">
                  <c:v>488.87</c:v>
                </c:pt>
                <c:pt idx="105">
                  <c:v>493.66</c:v>
                </c:pt>
                <c:pt idx="106">
                  <c:v>498.45</c:v>
                </c:pt>
                <c:pt idx="107">
                  <c:v>500</c:v>
                </c:pt>
                <c:pt idx="108">
                  <c:v>503.24</c:v>
                </c:pt>
                <c:pt idx="109">
                  <c:v>508.04</c:v>
                </c:pt>
                <c:pt idx="110">
                  <c:v>512.83000000000004</c:v>
                </c:pt>
                <c:pt idx="111">
                  <c:v>517.62</c:v>
                </c:pt>
                <c:pt idx="112">
                  <c:v>522.41999999999996</c:v>
                </c:pt>
                <c:pt idx="113">
                  <c:v>527.21</c:v>
                </c:pt>
                <c:pt idx="114">
                  <c:v>532</c:v>
                </c:pt>
                <c:pt idx="115">
                  <c:v>536.79</c:v>
                </c:pt>
                <c:pt idx="116">
                  <c:v>541.59</c:v>
                </c:pt>
                <c:pt idx="117">
                  <c:v>546.38</c:v>
                </c:pt>
                <c:pt idx="118">
                  <c:v>550</c:v>
                </c:pt>
                <c:pt idx="119">
                  <c:v>551.16999999999996</c:v>
                </c:pt>
                <c:pt idx="120">
                  <c:v>555.96</c:v>
                </c:pt>
                <c:pt idx="121">
                  <c:v>560.76</c:v>
                </c:pt>
                <c:pt idx="122">
                  <c:v>565.54999999999995</c:v>
                </c:pt>
                <c:pt idx="123">
                  <c:v>570.34</c:v>
                </c:pt>
                <c:pt idx="124">
                  <c:v>575.14</c:v>
                </c:pt>
                <c:pt idx="125">
                  <c:v>579.92999999999995</c:v>
                </c:pt>
                <c:pt idx="126">
                  <c:v>584.72</c:v>
                </c:pt>
                <c:pt idx="127">
                  <c:v>589.51</c:v>
                </c:pt>
                <c:pt idx="128">
                  <c:v>594.30999999999995</c:v>
                </c:pt>
                <c:pt idx="129">
                  <c:v>599.1</c:v>
                </c:pt>
                <c:pt idx="130">
                  <c:v>603.89</c:v>
                </c:pt>
                <c:pt idx="131">
                  <c:v>608.69000000000005</c:v>
                </c:pt>
                <c:pt idx="132">
                  <c:v>613.48</c:v>
                </c:pt>
                <c:pt idx="133">
                  <c:v>618.27</c:v>
                </c:pt>
                <c:pt idx="134">
                  <c:v>623.05999999999995</c:v>
                </c:pt>
                <c:pt idx="135">
                  <c:v>627.86</c:v>
                </c:pt>
                <c:pt idx="136">
                  <c:v>632.65</c:v>
                </c:pt>
                <c:pt idx="137">
                  <c:v>637.44000000000005</c:v>
                </c:pt>
                <c:pt idx="138">
                  <c:v>642.24</c:v>
                </c:pt>
                <c:pt idx="139">
                  <c:v>647.03</c:v>
                </c:pt>
                <c:pt idx="140">
                  <c:v>651.82000000000005</c:v>
                </c:pt>
                <c:pt idx="141">
                  <c:v>656.61</c:v>
                </c:pt>
                <c:pt idx="142">
                  <c:v>661.41</c:v>
                </c:pt>
                <c:pt idx="143">
                  <c:v>666.2</c:v>
                </c:pt>
                <c:pt idx="144">
                  <c:v>670.99</c:v>
                </c:pt>
                <c:pt idx="145">
                  <c:v>675.78</c:v>
                </c:pt>
                <c:pt idx="146">
                  <c:v>680.58</c:v>
                </c:pt>
                <c:pt idx="147">
                  <c:v>685.37</c:v>
                </c:pt>
                <c:pt idx="148">
                  <c:v>690.16</c:v>
                </c:pt>
                <c:pt idx="149">
                  <c:v>694.96</c:v>
                </c:pt>
                <c:pt idx="150">
                  <c:v>699.75</c:v>
                </c:pt>
                <c:pt idx="151">
                  <c:v>704.54</c:v>
                </c:pt>
                <c:pt idx="152">
                  <c:v>709.33</c:v>
                </c:pt>
                <c:pt idx="153">
                  <c:v>714.13</c:v>
                </c:pt>
                <c:pt idx="154">
                  <c:v>718.92</c:v>
                </c:pt>
                <c:pt idx="155">
                  <c:v>723.71</c:v>
                </c:pt>
                <c:pt idx="156">
                  <c:v>728.51</c:v>
                </c:pt>
                <c:pt idx="157">
                  <c:v>733.3</c:v>
                </c:pt>
                <c:pt idx="158">
                  <c:v>738.09</c:v>
                </c:pt>
                <c:pt idx="159">
                  <c:v>742.88</c:v>
                </c:pt>
                <c:pt idx="160">
                  <c:v>747.68</c:v>
                </c:pt>
                <c:pt idx="161">
                  <c:v>752.47</c:v>
                </c:pt>
                <c:pt idx="162">
                  <c:v>757.26</c:v>
                </c:pt>
                <c:pt idx="163">
                  <c:v>762.06</c:v>
                </c:pt>
                <c:pt idx="164">
                  <c:v>766.85</c:v>
                </c:pt>
                <c:pt idx="165">
                  <c:v>771.64</c:v>
                </c:pt>
                <c:pt idx="166">
                  <c:v>776.43</c:v>
                </c:pt>
                <c:pt idx="167">
                  <c:v>781.23</c:v>
                </c:pt>
                <c:pt idx="168">
                  <c:v>786.02</c:v>
                </c:pt>
                <c:pt idx="169">
                  <c:v>790.81</c:v>
                </c:pt>
                <c:pt idx="170">
                  <c:v>795.6</c:v>
                </c:pt>
                <c:pt idx="171">
                  <c:v>800.4</c:v>
                </c:pt>
                <c:pt idx="172">
                  <c:v>805.19</c:v>
                </c:pt>
                <c:pt idx="173">
                  <c:v>809.98</c:v>
                </c:pt>
                <c:pt idx="174">
                  <c:v>814.78</c:v>
                </c:pt>
                <c:pt idx="175">
                  <c:v>819.57</c:v>
                </c:pt>
                <c:pt idx="176">
                  <c:v>824.36</c:v>
                </c:pt>
                <c:pt idx="177">
                  <c:v>829.15</c:v>
                </c:pt>
                <c:pt idx="178">
                  <c:v>833.95</c:v>
                </c:pt>
                <c:pt idx="179">
                  <c:v>838.74</c:v>
                </c:pt>
                <c:pt idx="180">
                  <c:v>843.53</c:v>
                </c:pt>
                <c:pt idx="181">
                  <c:v>848.33</c:v>
                </c:pt>
                <c:pt idx="182">
                  <c:v>853.12</c:v>
                </c:pt>
                <c:pt idx="183">
                  <c:v>857.91</c:v>
                </c:pt>
                <c:pt idx="184">
                  <c:v>862.7</c:v>
                </c:pt>
                <c:pt idx="185">
                  <c:v>867.5</c:v>
                </c:pt>
                <c:pt idx="186">
                  <c:v>872.29</c:v>
                </c:pt>
                <c:pt idx="187">
                  <c:v>877.08</c:v>
                </c:pt>
                <c:pt idx="188">
                  <c:v>881.88</c:v>
                </c:pt>
                <c:pt idx="189">
                  <c:v>886.67</c:v>
                </c:pt>
                <c:pt idx="190">
                  <c:v>891.46</c:v>
                </c:pt>
                <c:pt idx="191">
                  <c:v>896.25</c:v>
                </c:pt>
                <c:pt idx="192">
                  <c:v>901.05</c:v>
                </c:pt>
                <c:pt idx="193">
                  <c:v>905.84</c:v>
                </c:pt>
                <c:pt idx="194">
                  <c:v>910.63</c:v>
                </c:pt>
                <c:pt idx="195">
                  <c:v>915.42</c:v>
                </c:pt>
                <c:pt idx="196">
                  <c:v>920.22</c:v>
                </c:pt>
                <c:pt idx="197">
                  <c:v>925.01</c:v>
                </c:pt>
                <c:pt idx="198">
                  <c:v>929.8</c:v>
                </c:pt>
                <c:pt idx="199">
                  <c:v>934.6</c:v>
                </c:pt>
                <c:pt idx="200">
                  <c:v>939.39</c:v>
                </c:pt>
                <c:pt idx="201">
                  <c:v>944.18</c:v>
                </c:pt>
                <c:pt idx="202">
                  <c:v>948.97</c:v>
                </c:pt>
                <c:pt idx="203">
                  <c:v>953.77</c:v>
                </c:pt>
                <c:pt idx="204">
                  <c:v>958.56</c:v>
                </c:pt>
                <c:pt idx="205">
                  <c:v>963.35</c:v>
                </c:pt>
                <c:pt idx="206">
                  <c:v>968.15</c:v>
                </c:pt>
                <c:pt idx="207">
                  <c:v>972.94</c:v>
                </c:pt>
                <c:pt idx="208">
                  <c:v>977.73</c:v>
                </c:pt>
                <c:pt idx="209">
                  <c:v>982.52</c:v>
                </c:pt>
                <c:pt idx="210">
                  <c:v>987.32</c:v>
                </c:pt>
                <c:pt idx="211">
                  <c:v>992.11</c:v>
                </c:pt>
                <c:pt idx="212">
                  <c:v>996.9</c:v>
                </c:pt>
                <c:pt idx="213">
                  <c:v>1001.7</c:v>
                </c:pt>
                <c:pt idx="214">
                  <c:v>1006.49</c:v>
                </c:pt>
                <c:pt idx="215">
                  <c:v>1011.28</c:v>
                </c:pt>
                <c:pt idx="216">
                  <c:v>1016.07</c:v>
                </c:pt>
                <c:pt idx="217">
                  <c:v>1020.87</c:v>
                </c:pt>
                <c:pt idx="218">
                  <c:v>1025.6600000000001</c:v>
                </c:pt>
                <c:pt idx="219">
                  <c:v>1030.45</c:v>
                </c:pt>
                <c:pt idx="220">
                  <c:v>1035.24</c:v>
                </c:pt>
                <c:pt idx="221">
                  <c:v>1040.04</c:v>
                </c:pt>
                <c:pt idx="222">
                  <c:v>1044.83</c:v>
                </c:pt>
                <c:pt idx="223">
                  <c:v>1049.6199999999999</c:v>
                </c:pt>
                <c:pt idx="224">
                  <c:v>1054.42</c:v>
                </c:pt>
                <c:pt idx="225">
                  <c:v>1059.21</c:v>
                </c:pt>
                <c:pt idx="226">
                  <c:v>1064</c:v>
                </c:pt>
                <c:pt idx="227">
                  <c:v>1068.79</c:v>
                </c:pt>
                <c:pt idx="228">
                  <c:v>1073.5899999999999</c:v>
                </c:pt>
                <c:pt idx="229">
                  <c:v>1078.3800000000001</c:v>
                </c:pt>
                <c:pt idx="230">
                  <c:v>1083.17</c:v>
                </c:pt>
                <c:pt idx="231">
                  <c:v>1087.97</c:v>
                </c:pt>
                <c:pt idx="232">
                  <c:v>1092.76</c:v>
                </c:pt>
                <c:pt idx="233">
                  <c:v>1097.55</c:v>
                </c:pt>
                <c:pt idx="234">
                  <c:v>1102.3399999999999</c:v>
                </c:pt>
                <c:pt idx="235">
                  <c:v>1107.1400000000001</c:v>
                </c:pt>
                <c:pt idx="236">
                  <c:v>1111.93</c:v>
                </c:pt>
                <c:pt idx="237">
                  <c:v>1116.72</c:v>
                </c:pt>
                <c:pt idx="238">
                  <c:v>1121.52</c:v>
                </c:pt>
                <c:pt idx="239">
                  <c:v>1126.31</c:v>
                </c:pt>
                <c:pt idx="240">
                  <c:v>1131.0999999999999</c:v>
                </c:pt>
                <c:pt idx="241">
                  <c:v>1135.8900000000001</c:v>
                </c:pt>
                <c:pt idx="242">
                  <c:v>1140.69</c:v>
                </c:pt>
                <c:pt idx="243">
                  <c:v>1145.48</c:v>
                </c:pt>
                <c:pt idx="244">
                  <c:v>1150.27</c:v>
                </c:pt>
                <c:pt idx="245">
                  <c:v>1155.06</c:v>
                </c:pt>
                <c:pt idx="246">
                  <c:v>1159.8599999999999</c:v>
                </c:pt>
                <c:pt idx="247">
                  <c:v>1164.6500000000001</c:v>
                </c:pt>
                <c:pt idx="248">
                  <c:v>1169.44</c:v>
                </c:pt>
                <c:pt idx="249">
                  <c:v>1174.24</c:v>
                </c:pt>
                <c:pt idx="250">
                  <c:v>1179.03</c:v>
                </c:pt>
                <c:pt idx="251">
                  <c:v>1183.82</c:v>
                </c:pt>
                <c:pt idx="252">
                  <c:v>1188.6099999999999</c:v>
                </c:pt>
                <c:pt idx="253">
                  <c:v>1193.4100000000001</c:v>
                </c:pt>
                <c:pt idx="254">
                  <c:v>1198.2</c:v>
                </c:pt>
                <c:pt idx="255">
                  <c:v>1202.99</c:v>
                </c:pt>
                <c:pt idx="256">
                  <c:v>1207.79</c:v>
                </c:pt>
                <c:pt idx="257">
                  <c:v>1212.58</c:v>
                </c:pt>
                <c:pt idx="258">
                  <c:v>1217.3699999999999</c:v>
                </c:pt>
                <c:pt idx="259">
                  <c:v>1222.1600000000001</c:v>
                </c:pt>
                <c:pt idx="260">
                  <c:v>1226.96</c:v>
                </c:pt>
                <c:pt idx="261">
                  <c:v>1231.75</c:v>
                </c:pt>
                <c:pt idx="262">
                  <c:v>1236.54</c:v>
                </c:pt>
                <c:pt idx="263">
                  <c:v>1241.3399999999999</c:v>
                </c:pt>
                <c:pt idx="264">
                  <c:v>1246.1300000000001</c:v>
                </c:pt>
                <c:pt idx="265">
                  <c:v>1250.92</c:v>
                </c:pt>
                <c:pt idx="266">
                  <c:v>1255.71</c:v>
                </c:pt>
                <c:pt idx="267">
                  <c:v>1260.51</c:v>
                </c:pt>
                <c:pt idx="268">
                  <c:v>1265.3</c:v>
                </c:pt>
                <c:pt idx="269">
                  <c:v>1270.0899999999999</c:v>
                </c:pt>
                <c:pt idx="270">
                  <c:v>1274.8800000000001</c:v>
                </c:pt>
                <c:pt idx="271">
                  <c:v>1279.68</c:v>
                </c:pt>
                <c:pt idx="272">
                  <c:v>1284.47</c:v>
                </c:pt>
                <c:pt idx="273">
                  <c:v>1289.26</c:v>
                </c:pt>
                <c:pt idx="274">
                  <c:v>1294.06</c:v>
                </c:pt>
                <c:pt idx="275">
                  <c:v>1298.8499999999999</c:v>
                </c:pt>
                <c:pt idx="276">
                  <c:v>1303.6400000000001</c:v>
                </c:pt>
                <c:pt idx="277">
                  <c:v>1308.43</c:v>
                </c:pt>
                <c:pt idx="278">
                  <c:v>1313.23</c:v>
                </c:pt>
                <c:pt idx="279">
                  <c:v>1318.02</c:v>
                </c:pt>
                <c:pt idx="280">
                  <c:v>1322.81</c:v>
                </c:pt>
                <c:pt idx="281">
                  <c:v>1327.61</c:v>
                </c:pt>
                <c:pt idx="282">
                  <c:v>1332.4</c:v>
                </c:pt>
                <c:pt idx="283">
                  <c:v>1337.19</c:v>
                </c:pt>
                <c:pt idx="284">
                  <c:v>1341.98</c:v>
                </c:pt>
                <c:pt idx="285">
                  <c:v>1346.78</c:v>
                </c:pt>
                <c:pt idx="286">
                  <c:v>1351.57</c:v>
                </c:pt>
                <c:pt idx="287">
                  <c:v>1356.36</c:v>
                </c:pt>
                <c:pt idx="288">
                  <c:v>1361.16</c:v>
                </c:pt>
                <c:pt idx="289">
                  <c:v>1365.95</c:v>
                </c:pt>
                <c:pt idx="290">
                  <c:v>1370.74</c:v>
                </c:pt>
                <c:pt idx="291">
                  <c:v>1375.53</c:v>
                </c:pt>
                <c:pt idx="292">
                  <c:v>1380.33</c:v>
                </c:pt>
                <c:pt idx="293">
                  <c:v>1385.12</c:v>
                </c:pt>
                <c:pt idx="294">
                  <c:v>1389.91</c:v>
                </c:pt>
                <c:pt idx="295">
                  <c:v>1394.7</c:v>
                </c:pt>
                <c:pt idx="296">
                  <c:v>1399.5</c:v>
                </c:pt>
                <c:pt idx="297">
                  <c:v>1404.29</c:v>
                </c:pt>
                <c:pt idx="298">
                  <c:v>1409.08</c:v>
                </c:pt>
                <c:pt idx="299">
                  <c:v>1413.88</c:v>
                </c:pt>
                <c:pt idx="300">
                  <c:v>1418.67</c:v>
                </c:pt>
                <c:pt idx="301">
                  <c:v>1423.46</c:v>
                </c:pt>
                <c:pt idx="302" formatCode="General">
                  <c:v>1428.25</c:v>
                </c:pt>
              </c:numCache>
            </c:numRef>
          </c:xVal>
          <c:yVal>
            <c:numRef>
              <c:f>Calc!$B$2:$B$304</c:f>
              <c:numCache>
                <c:formatCode>_(* #,##0.00_);_(* \(#,##0.00\);_(* "-"??_);_(@_)</c:formatCode>
                <c:ptCount val="303"/>
                <c:pt idx="0">
                  <c:v>-3213</c:v>
                </c:pt>
                <c:pt idx="1">
                  <c:v>-3212.9999999999982</c:v>
                </c:pt>
                <c:pt idx="2">
                  <c:v>-3213.0000000000027</c:v>
                </c:pt>
                <c:pt idx="3">
                  <c:v>-3213</c:v>
                </c:pt>
                <c:pt idx="4">
                  <c:v>-3212.9999999999982</c:v>
                </c:pt>
                <c:pt idx="5">
                  <c:v>-3213.0000000000018</c:v>
                </c:pt>
                <c:pt idx="6">
                  <c:v>-3213.0000000000009</c:v>
                </c:pt>
                <c:pt idx="7">
                  <c:v>-3212.9999999999991</c:v>
                </c:pt>
                <c:pt idx="8">
                  <c:v>-3212.9999999999964</c:v>
                </c:pt>
                <c:pt idx="9">
                  <c:v>-3213.0000000000018</c:v>
                </c:pt>
                <c:pt idx="10">
                  <c:v>-3212.9999999999991</c:v>
                </c:pt>
                <c:pt idx="11">
                  <c:v>-3212.9999999999973</c:v>
                </c:pt>
                <c:pt idx="12">
                  <c:v>-3213.0000000000009</c:v>
                </c:pt>
                <c:pt idx="13">
                  <c:v>-3213</c:v>
                </c:pt>
                <c:pt idx="14">
                  <c:v>-3212.9999999999982</c:v>
                </c:pt>
                <c:pt idx="15">
                  <c:v>-3213.0000000000018</c:v>
                </c:pt>
                <c:pt idx="16">
                  <c:v>-3212.9999999999991</c:v>
                </c:pt>
                <c:pt idx="17">
                  <c:v>-3213.0000000000018</c:v>
                </c:pt>
                <c:pt idx="18">
                  <c:v>-3213.0000000000018</c:v>
                </c:pt>
                <c:pt idx="19">
                  <c:v>-3213</c:v>
                </c:pt>
                <c:pt idx="20">
                  <c:v>-3212.9999999999982</c:v>
                </c:pt>
                <c:pt idx="21">
                  <c:v>-3212.9999999999982</c:v>
                </c:pt>
                <c:pt idx="22">
                  <c:v>-3213</c:v>
                </c:pt>
                <c:pt idx="23">
                  <c:v>-3213.0000000000018</c:v>
                </c:pt>
                <c:pt idx="24">
                  <c:v>-3212.9999999999991</c:v>
                </c:pt>
                <c:pt idx="25">
                  <c:v>-3213.0000000000009</c:v>
                </c:pt>
                <c:pt idx="26">
                  <c:v>-3212.9999999999982</c:v>
                </c:pt>
                <c:pt idx="27">
                  <c:v>-3213</c:v>
                </c:pt>
                <c:pt idx="28">
                  <c:v>-3213.0000000000009</c:v>
                </c:pt>
                <c:pt idx="29">
                  <c:v>-3212.9999999999991</c:v>
                </c:pt>
                <c:pt idx="30">
                  <c:v>-3212.9999999999991</c:v>
                </c:pt>
                <c:pt idx="31">
                  <c:v>-3212.9999999999964</c:v>
                </c:pt>
                <c:pt idx="32">
                  <c:v>-3213</c:v>
                </c:pt>
                <c:pt idx="33">
                  <c:v>-3213.0000000000036</c:v>
                </c:pt>
                <c:pt idx="34">
                  <c:v>-3212.9999999999964</c:v>
                </c:pt>
                <c:pt idx="35">
                  <c:v>-3213</c:v>
                </c:pt>
                <c:pt idx="36">
                  <c:v>-3213.0000000000036</c:v>
                </c:pt>
                <c:pt idx="37">
                  <c:v>-3212.9999999999964</c:v>
                </c:pt>
                <c:pt idx="38">
                  <c:v>-3213</c:v>
                </c:pt>
                <c:pt idx="39">
                  <c:v>-3213.0000000000036</c:v>
                </c:pt>
                <c:pt idx="40">
                  <c:v>-3212.9999999999964</c:v>
                </c:pt>
                <c:pt idx="41">
                  <c:v>-3213</c:v>
                </c:pt>
                <c:pt idx="42">
                  <c:v>-3212.9999999999991</c:v>
                </c:pt>
                <c:pt idx="43">
                  <c:v>-3213</c:v>
                </c:pt>
                <c:pt idx="44">
                  <c:v>-3213</c:v>
                </c:pt>
                <c:pt idx="45">
                  <c:v>-3212.9999999999991</c:v>
                </c:pt>
                <c:pt idx="46">
                  <c:v>-3213</c:v>
                </c:pt>
                <c:pt idx="47">
                  <c:v>-3213.0000000000009</c:v>
                </c:pt>
                <c:pt idx="48">
                  <c:v>-3212.9999999999991</c:v>
                </c:pt>
                <c:pt idx="49">
                  <c:v>-3213.0000000000009</c:v>
                </c:pt>
                <c:pt idx="50">
                  <c:v>-3213</c:v>
                </c:pt>
                <c:pt idx="51">
                  <c:v>-3212.9999999999991</c:v>
                </c:pt>
                <c:pt idx="52">
                  <c:v>-3212.9999999999991</c:v>
                </c:pt>
                <c:pt idx="53">
                  <c:v>-3213.0000000000009</c:v>
                </c:pt>
                <c:pt idx="54">
                  <c:v>-3213</c:v>
                </c:pt>
                <c:pt idx="55">
                  <c:v>-3213</c:v>
                </c:pt>
                <c:pt idx="56">
                  <c:v>-3213</c:v>
                </c:pt>
                <c:pt idx="57">
                  <c:v>-3213</c:v>
                </c:pt>
                <c:pt idx="58">
                  <c:v>-3213</c:v>
                </c:pt>
                <c:pt idx="59">
                  <c:v>-3213.0000000000009</c:v>
                </c:pt>
                <c:pt idx="60">
                  <c:v>-3213.0000000000009</c:v>
                </c:pt>
                <c:pt idx="61">
                  <c:v>-3213</c:v>
                </c:pt>
                <c:pt idx="62">
                  <c:v>-3213</c:v>
                </c:pt>
                <c:pt idx="63">
                  <c:v>-3212.9999999999991</c:v>
                </c:pt>
                <c:pt idx="64">
                  <c:v>-3213.0000000000009</c:v>
                </c:pt>
                <c:pt idx="65">
                  <c:v>-3213.0000000000009</c:v>
                </c:pt>
                <c:pt idx="66">
                  <c:v>-3213</c:v>
                </c:pt>
                <c:pt idx="67">
                  <c:v>-3213</c:v>
                </c:pt>
                <c:pt idx="68">
                  <c:v>-3213</c:v>
                </c:pt>
                <c:pt idx="69">
                  <c:v>-3213</c:v>
                </c:pt>
                <c:pt idx="70">
                  <c:v>-3213</c:v>
                </c:pt>
                <c:pt idx="71">
                  <c:v>-3213</c:v>
                </c:pt>
                <c:pt idx="72">
                  <c:v>-3213</c:v>
                </c:pt>
                <c:pt idx="73">
                  <c:v>-3213</c:v>
                </c:pt>
                <c:pt idx="74">
                  <c:v>-3213</c:v>
                </c:pt>
                <c:pt idx="75">
                  <c:v>-3213</c:v>
                </c:pt>
                <c:pt idx="76">
                  <c:v>-3213</c:v>
                </c:pt>
                <c:pt idx="77">
                  <c:v>-3213</c:v>
                </c:pt>
                <c:pt idx="78">
                  <c:v>-3213</c:v>
                </c:pt>
                <c:pt idx="79">
                  <c:v>-3213</c:v>
                </c:pt>
                <c:pt idx="80">
                  <c:v>-3213</c:v>
                </c:pt>
                <c:pt idx="81">
                  <c:v>-3213</c:v>
                </c:pt>
                <c:pt idx="82">
                  <c:v>-3213</c:v>
                </c:pt>
                <c:pt idx="83">
                  <c:v>-3213</c:v>
                </c:pt>
                <c:pt idx="84">
                  <c:v>-3213</c:v>
                </c:pt>
                <c:pt idx="85">
                  <c:v>-2952.9999999999977</c:v>
                </c:pt>
                <c:pt idx="86">
                  <c:v>-2474.0000000000014</c:v>
                </c:pt>
                <c:pt idx="87">
                  <c:v>-1994.9999999999995</c:v>
                </c:pt>
                <c:pt idx="88">
                  <c:v>-1515.9999999999973</c:v>
                </c:pt>
                <c:pt idx="89">
                  <c:v>-1036.0000000000018</c:v>
                </c:pt>
                <c:pt idx="90">
                  <c:v>-556.99999999999977</c:v>
                </c:pt>
                <c:pt idx="91">
                  <c:v>-77.99999999999774</c:v>
                </c:pt>
                <c:pt idx="92">
                  <c:v>400.99999999999864</c:v>
                </c:pt>
                <c:pt idx="93">
                  <c:v>880.99999999999977</c:v>
                </c:pt>
                <c:pt idx="94">
                  <c:v>1360.0000000000018</c:v>
                </c:pt>
                <c:pt idx="95">
                  <c:v>1787</c:v>
                </c:pt>
                <c:pt idx="96">
                  <c:v>1787</c:v>
                </c:pt>
                <c:pt idx="97">
                  <c:v>1787</c:v>
                </c:pt>
                <c:pt idx="98">
                  <c:v>1787</c:v>
                </c:pt>
                <c:pt idx="99">
                  <c:v>1787</c:v>
                </c:pt>
                <c:pt idx="100">
                  <c:v>1787</c:v>
                </c:pt>
                <c:pt idx="101">
                  <c:v>1787</c:v>
                </c:pt>
                <c:pt idx="102">
                  <c:v>1787</c:v>
                </c:pt>
                <c:pt idx="103">
                  <c:v>1787</c:v>
                </c:pt>
                <c:pt idx="104">
                  <c:v>1787</c:v>
                </c:pt>
                <c:pt idx="105">
                  <c:v>1787</c:v>
                </c:pt>
                <c:pt idx="106">
                  <c:v>1787</c:v>
                </c:pt>
                <c:pt idx="107">
                  <c:v>1787</c:v>
                </c:pt>
                <c:pt idx="108">
                  <c:v>1462.9999999999991</c:v>
                </c:pt>
                <c:pt idx="109">
                  <c:v>982.99999999999795</c:v>
                </c:pt>
                <c:pt idx="110">
                  <c:v>503.99999999999591</c:v>
                </c:pt>
                <c:pt idx="111">
                  <c:v>24.999999999999531</c:v>
                </c:pt>
                <c:pt idx="112">
                  <c:v>-454.99999999999591</c:v>
                </c:pt>
                <c:pt idx="113">
                  <c:v>-934.00000000000364</c:v>
                </c:pt>
                <c:pt idx="114">
                  <c:v>-1413</c:v>
                </c:pt>
                <c:pt idx="115">
                  <c:v>-1891.9999999999964</c:v>
                </c:pt>
                <c:pt idx="116">
                  <c:v>-2372.0000000000032</c:v>
                </c:pt>
                <c:pt idx="117">
                  <c:v>-2850.9999999999995</c:v>
                </c:pt>
                <c:pt idx="118">
                  <c:v>-3213</c:v>
                </c:pt>
                <c:pt idx="119">
                  <c:v>-3213</c:v>
                </c:pt>
                <c:pt idx="120">
                  <c:v>-3213</c:v>
                </c:pt>
                <c:pt idx="121">
                  <c:v>-3213</c:v>
                </c:pt>
                <c:pt idx="122">
                  <c:v>-3213</c:v>
                </c:pt>
                <c:pt idx="123">
                  <c:v>-3213.0000000000005</c:v>
                </c:pt>
                <c:pt idx="124">
                  <c:v>-3212.9999999999995</c:v>
                </c:pt>
                <c:pt idx="125">
                  <c:v>-3212.9999999999995</c:v>
                </c:pt>
                <c:pt idx="126">
                  <c:v>-3213</c:v>
                </c:pt>
                <c:pt idx="127">
                  <c:v>-3213</c:v>
                </c:pt>
                <c:pt idx="128">
                  <c:v>-3213</c:v>
                </c:pt>
                <c:pt idx="129">
                  <c:v>-3212.9999999999995</c:v>
                </c:pt>
                <c:pt idx="130">
                  <c:v>-3212.9999999999995</c:v>
                </c:pt>
                <c:pt idx="131">
                  <c:v>-3213</c:v>
                </c:pt>
                <c:pt idx="132">
                  <c:v>-3213</c:v>
                </c:pt>
                <c:pt idx="133">
                  <c:v>-3213</c:v>
                </c:pt>
                <c:pt idx="134">
                  <c:v>-3213</c:v>
                </c:pt>
                <c:pt idx="135">
                  <c:v>-3213.0000000000005</c:v>
                </c:pt>
                <c:pt idx="136">
                  <c:v>-3213.0000000000005</c:v>
                </c:pt>
                <c:pt idx="137">
                  <c:v>-3213</c:v>
                </c:pt>
                <c:pt idx="138">
                  <c:v>-3212.9999999999991</c:v>
                </c:pt>
                <c:pt idx="139">
                  <c:v>-3212.9999999999991</c:v>
                </c:pt>
                <c:pt idx="140">
                  <c:v>-3213.0000000000005</c:v>
                </c:pt>
                <c:pt idx="141">
                  <c:v>-3213.0000000000005</c:v>
                </c:pt>
                <c:pt idx="142">
                  <c:v>-3212.9999999999995</c:v>
                </c:pt>
                <c:pt idx="143">
                  <c:v>-3212.9999999999991</c:v>
                </c:pt>
                <c:pt idx="144">
                  <c:v>-3212.9999999999991</c:v>
                </c:pt>
                <c:pt idx="145">
                  <c:v>-3212.9999999999991</c:v>
                </c:pt>
                <c:pt idx="146">
                  <c:v>-3212.9999999999995</c:v>
                </c:pt>
                <c:pt idx="147">
                  <c:v>-3212.9999999999995</c:v>
                </c:pt>
                <c:pt idx="148">
                  <c:v>-3212.9999999999995</c:v>
                </c:pt>
                <c:pt idx="149">
                  <c:v>-3213</c:v>
                </c:pt>
                <c:pt idx="150">
                  <c:v>-3213</c:v>
                </c:pt>
                <c:pt idx="151">
                  <c:v>-3213</c:v>
                </c:pt>
                <c:pt idx="152">
                  <c:v>-3212.9999999999995</c:v>
                </c:pt>
                <c:pt idx="153">
                  <c:v>-3213.0000000000005</c:v>
                </c:pt>
                <c:pt idx="154">
                  <c:v>-3213.0000000000005</c:v>
                </c:pt>
                <c:pt idx="155">
                  <c:v>-3213</c:v>
                </c:pt>
                <c:pt idx="156">
                  <c:v>-3213.0000000000009</c:v>
                </c:pt>
                <c:pt idx="157">
                  <c:v>-3213.0000000000009</c:v>
                </c:pt>
                <c:pt idx="158">
                  <c:v>-3213.0000000000005</c:v>
                </c:pt>
                <c:pt idx="159">
                  <c:v>-3213.0000000000005</c:v>
                </c:pt>
                <c:pt idx="160">
                  <c:v>-3213.0000000000014</c:v>
                </c:pt>
                <c:pt idx="161">
                  <c:v>-3213.0000000000009</c:v>
                </c:pt>
                <c:pt idx="162">
                  <c:v>-3213.0000000000009</c:v>
                </c:pt>
                <c:pt idx="163">
                  <c:v>-3212.9999999999982</c:v>
                </c:pt>
                <c:pt idx="164">
                  <c:v>-3213.0000000000014</c:v>
                </c:pt>
                <c:pt idx="165">
                  <c:v>-3213.0000000000014</c:v>
                </c:pt>
                <c:pt idx="166">
                  <c:v>-3213.0000000000014</c:v>
                </c:pt>
                <c:pt idx="167">
                  <c:v>-3212.9999999999982</c:v>
                </c:pt>
                <c:pt idx="168">
                  <c:v>-3213.0000000000018</c:v>
                </c:pt>
                <c:pt idx="169">
                  <c:v>-3212.9999999999982</c:v>
                </c:pt>
                <c:pt idx="170">
                  <c:v>-3213.0000000000014</c:v>
                </c:pt>
                <c:pt idx="171">
                  <c:v>-3212.9999999999986</c:v>
                </c:pt>
                <c:pt idx="172">
                  <c:v>-3213.0000000000018</c:v>
                </c:pt>
                <c:pt idx="173">
                  <c:v>-3212.9999999999982</c:v>
                </c:pt>
                <c:pt idx="174">
                  <c:v>-3212.9999999999991</c:v>
                </c:pt>
                <c:pt idx="175">
                  <c:v>-3212.9999999999986</c:v>
                </c:pt>
                <c:pt idx="176">
                  <c:v>-3212.9999999999986</c:v>
                </c:pt>
                <c:pt idx="177">
                  <c:v>-3212.9999999999986</c:v>
                </c:pt>
                <c:pt idx="178">
                  <c:v>-3212.9999999999991</c:v>
                </c:pt>
                <c:pt idx="179">
                  <c:v>-3212.9999999999991</c:v>
                </c:pt>
                <c:pt idx="180">
                  <c:v>-3212.9999999999991</c:v>
                </c:pt>
                <c:pt idx="181">
                  <c:v>-3212.9999999999995</c:v>
                </c:pt>
                <c:pt idx="182">
                  <c:v>-3212.9999999999995</c:v>
                </c:pt>
                <c:pt idx="183">
                  <c:v>-3213.0000000000032</c:v>
                </c:pt>
                <c:pt idx="184">
                  <c:v>-3213.0000000000027</c:v>
                </c:pt>
                <c:pt idx="185">
                  <c:v>-3213</c:v>
                </c:pt>
                <c:pt idx="186">
                  <c:v>-3213.0000000000036</c:v>
                </c:pt>
                <c:pt idx="187">
                  <c:v>-3213.0000000000032</c:v>
                </c:pt>
                <c:pt idx="188">
                  <c:v>-3213.0000000000005</c:v>
                </c:pt>
                <c:pt idx="189">
                  <c:v>-3212.9999999999968</c:v>
                </c:pt>
                <c:pt idx="190">
                  <c:v>-3212.9999999999964</c:v>
                </c:pt>
                <c:pt idx="191">
                  <c:v>-3213</c:v>
                </c:pt>
                <c:pt idx="192">
                  <c:v>-3212.9999999999973</c:v>
                </c:pt>
                <c:pt idx="193">
                  <c:v>-3212.9999999999968</c:v>
                </c:pt>
                <c:pt idx="194">
                  <c:v>-3213.0000000000005</c:v>
                </c:pt>
                <c:pt idx="195">
                  <c:v>-3212.9999999999968</c:v>
                </c:pt>
                <c:pt idx="196">
                  <c:v>-3212.9999999999973</c:v>
                </c:pt>
                <c:pt idx="197">
                  <c:v>-3213.0000000000009</c:v>
                </c:pt>
                <c:pt idx="198">
                  <c:v>-3212.9999999999973</c:v>
                </c:pt>
                <c:pt idx="199">
                  <c:v>-3212.9999999999977</c:v>
                </c:pt>
                <c:pt idx="200">
                  <c:v>-3213.0000000000014</c:v>
                </c:pt>
                <c:pt idx="201">
                  <c:v>-3212.9999999999977</c:v>
                </c:pt>
                <c:pt idx="202">
                  <c:v>-3212.9999999999973</c:v>
                </c:pt>
                <c:pt idx="203">
                  <c:v>-3213.0000000000018</c:v>
                </c:pt>
                <c:pt idx="204">
                  <c:v>-3212.9999999999982</c:v>
                </c:pt>
                <c:pt idx="205">
                  <c:v>-3212.9999999999977</c:v>
                </c:pt>
                <c:pt idx="206">
                  <c:v>-3213.0000000000023</c:v>
                </c:pt>
                <c:pt idx="207">
                  <c:v>-3213.0000000000018</c:v>
                </c:pt>
                <c:pt idx="208">
                  <c:v>-3212.9999999999982</c:v>
                </c:pt>
                <c:pt idx="209">
                  <c:v>-3213.0000000000018</c:v>
                </c:pt>
                <c:pt idx="210">
                  <c:v>-3213.0000000000023</c:v>
                </c:pt>
                <c:pt idx="211">
                  <c:v>-3212.9999999999986</c:v>
                </c:pt>
                <c:pt idx="212">
                  <c:v>-3213.0000000000023</c:v>
                </c:pt>
                <c:pt idx="213">
                  <c:v>-3213.0000000000027</c:v>
                </c:pt>
                <c:pt idx="214">
                  <c:v>-3212.9999999999991</c:v>
                </c:pt>
                <c:pt idx="215">
                  <c:v>-3213.0000000000027</c:v>
                </c:pt>
                <c:pt idx="216">
                  <c:v>-3213.0000000000023</c:v>
                </c:pt>
                <c:pt idx="217">
                  <c:v>-3212.9999999999995</c:v>
                </c:pt>
                <c:pt idx="218">
                  <c:v>-3212.9999999999991</c:v>
                </c:pt>
                <c:pt idx="219">
                  <c:v>-3213.0000000000027</c:v>
                </c:pt>
                <c:pt idx="220">
                  <c:v>-3212.9999999999991</c:v>
                </c:pt>
                <c:pt idx="221">
                  <c:v>-3213.0000000000036</c:v>
                </c:pt>
                <c:pt idx="222">
                  <c:v>-3213</c:v>
                </c:pt>
                <c:pt idx="223">
                  <c:v>-3212.9999999999964</c:v>
                </c:pt>
                <c:pt idx="224">
                  <c:v>-3213</c:v>
                </c:pt>
                <c:pt idx="225">
                  <c:v>-3212.9999999999964</c:v>
                </c:pt>
                <c:pt idx="226">
                  <c:v>-3213</c:v>
                </c:pt>
                <c:pt idx="227">
                  <c:v>-3213.0000000000036</c:v>
                </c:pt>
                <c:pt idx="228">
                  <c:v>-3213.0000000000009</c:v>
                </c:pt>
                <c:pt idx="229">
                  <c:v>-3213.0000000000036</c:v>
                </c:pt>
                <c:pt idx="230">
                  <c:v>-3213</c:v>
                </c:pt>
                <c:pt idx="231">
                  <c:v>-3212.9999999999973</c:v>
                </c:pt>
                <c:pt idx="232">
                  <c:v>-3213.0000000000009</c:v>
                </c:pt>
                <c:pt idx="233">
                  <c:v>-3212.9999999999973</c:v>
                </c:pt>
                <c:pt idx="234">
                  <c:v>-3213.0000000000009</c:v>
                </c:pt>
                <c:pt idx="235">
                  <c:v>-3212.9999999999973</c:v>
                </c:pt>
                <c:pt idx="236">
                  <c:v>-3213.0000000000009</c:v>
                </c:pt>
                <c:pt idx="237">
                  <c:v>-3212.9999999999973</c:v>
                </c:pt>
                <c:pt idx="238">
                  <c:v>-3213.0000000000018</c:v>
                </c:pt>
                <c:pt idx="239">
                  <c:v>-3212.9999999999982</c:v>
                </c:pt>
                <c:pt idx="240">
                  <c:v>-3213.0000000000018</c:v>
                </c:pt>
                <c:pt idx="241">
                  <c:v>-3212.9999999999973</c:v>
                </c:pt>
                <c:pt idx="242">
                  <c:v>-3213.0000000000018</c:v>
                </c:pt>
                <c:pt idx="243">
                  <c:v>-3212.9999999999982</c:v>
                </c:pt>
                <c:pt idx="244">
                  <c:v>-3213.0000000000018</c:v>
                </c:pt>
                <c:pt idx="245">
                  <c:v>-3212.9999999999982</c:v>
                </c:pt>
                <c:pt idx="246">
                  <c:v>-3213.0000000000027</c:v>
                </c:pt>
                <c:pt idx="247">
                  <c:v>-3212.9999999999982</c:v>
                </c:pt>
                <c:pt idx="248">
                  <c:v>-3213.0000000000018</c:v>
                </c:pt>
                <c:pt idx="249">
                  <c:v>-3212.9999999999991</c:v>
                </c:pt>
                <c:pt idx="250">
                  <c:v>-3213.0000000000027</c:v>
                </c:pt>
                <c:pt idx="251">
                  <c:v>-3213.0000000000064</c:v>
                </c:pt>
                <c:pt idx="252">
                  <c:v>-3212.9999999999955</c:v>
                </c:pt>
                <c:pt idx="253">
                  <c:v>-3213.0000000000064</c:v>
                </c:pt>
                <c:pt idx="254">
                  <c:v>-3212.9999999999955</c:v>
                </c:pt>
                <c:pt idx="255">
                  <c:v>-3212.9999999999991</c:v>
                </c:pt>
                <c:pt idx="256">
                  <c:v>-3213.0000000000036</c:v>
                </c:pt>
                <c:pt idx="257">
                  <c:v>-3213.0000000000073</c:v>
                </c:pt>
                <c:pt idx="258">
                  <c:v>-3212.9999999999964</c:v>
                </c:pt>
                <c:pt idx="259">
                  <c:v>-3213.0000000000064</c:v>
                </c:pt>
                <c:pt idx="260">
                  <c:v>-3212.9999999999964</c:v>
                </c:pt>
                <c:pt idx="261">
                  <c:v>-3213</c:v>
                </c:pt>
                <c:pt idx="262">
                  <c:v>-3213.0000000000036</c:v>
                </c:pt>
                <c:pt idx="263">
                  <c:v>-3212.9999999999936</c:v>
                </c:pt>
                <c:pt idx="264">
                  <c:v>-3213.0000000000036</c:v>
                </c:pt>
                <c:pt idx="265">
                  <c:v>-3212.9999999999927</c:v>
                </c:pt>
                <c:pt idx="266">
                  <c:v>-3212.9999999999964</c:v>
                </c:pt>
                <c:pt idx="267">
                  <c:v>-3213.0000000000009</c:v>
                </c:pt>
                <c:pt idx="268">
                  <c:v>-3213.0000000000045</c:v>
                </c:pt>
                <c:pt idx="269">
                  <c:v>-3212.9999999999936</c:v>
                </c:pt>
                <c:pt idx="270">
                  <c:v>-3213.0000000000036</c:v>
                </c:pt>
                <c:pt idx="271">
                  <c:v>-3212.9999999999936</c:v>
                </c:pt>
                <c:pt idx="272">
                  <c:v>-3212.9999999999973</c:v>
                </c:pt>
                <c:pt idx="273">
                  <c:v>-3213.0000000000009</c:v>
                </c:pt>
                <c:pt idx="274">
                  <c:v>-3213.0000000000055</c:v>
                </c:pt>
                <c:pt idx="275">
                  <c:v>-3212.9999999999945</c:v>
                </c:pt>
                <c:pt idx="276">
                  <c:v>-3213.0000000000045</c:v>
                </c:pt>
                <c:pt idx="277">
                  <c:v>-3212.9999999999936</c:v>
                </c:pt>
                <c:pt idx="278">
                  <c:v>-3212.9999999999982</c:v>
                </c:pt>
                <c:pt idx="279">
                  <c:v>-3213.0000000000018</c:v>
                </c:pt>
                <c:pt idx="280">
                  <c:v>-3213.0000000000055</c:v>
                </c:pt>
                <c:pt idx="281">
                  <c:v>-3212.9999999999955</c:v>
                </c:pt>
                <c:pt idx="282">
                  <c:v>-3213.0000000000055</c:v>
                </c:pt>
                <c:pt idx="283">
                  <c:v>-3212.9999999999945</c:v>
                </c:pt>
                <c:pt idx="284">
                  <c:v>-3212.9999999999982</c:v>
                </c:pt>
                <c:pt idx="285">
                  <c:v>-3213.0000000000027</c:v>
                </c:pt>
                <c:pt idx="286">
                  <c:v>-3213.0000000000064</c:v>
                </c:pt>
                <c:pt idx="287">
                  <c:v>-3212.9999999999955</c:v>
                </c:pt>
                <c:pt idx="288">
                  <c:v>-3213.0000000000064</c:v>
                </c:pt>
                <c:pt idx="289">
                  <c:v>-3212.9999999999955</c:v>
                </c:pt>
                <c:pt idx="290">
                  <c:v>-3212.9999999999991</c:v>
                </c:pt>
                <c:pt idx="291">
                  <c:v>-3213.0000000000027</c:v>
                </c:pt>
                <c:pt idx="292">
                  <c:v>-3213.0000000000073</c:v>
                </c:pt>
                <c:pt idx="293">
                  <c:v>-3212.9999999999964</c:v>
                </c:pt>
                <c:pt idx="294">
                  <c:v>-3213.0000000000064</c:v>
                </c:pt>
                <c:pt idx="295">
                  <c:v>-3212.9999999999955</c:v>
                </c:pt>
                <c:pt idx="296">
                  <c:v>-3213</c:v>
                </c:pt>
                <c:pt idx="297">
                  <c:v>-3213.0000000000036</c:v>
                </c:pt>
                <c:pt idx="298">
                  <c:v>-3213.0000000000073</c:v>
                </c:pt>
                <c:pt idx="299">
                  <c:v>-3213.0000000000036</c:v>
                </c:pt>
                <c:pt idx="300">
                  <c:v>-3212.9999999999927</c:v>
                </c:pt>
                <c:pt idx="301">
                  <c:v>-3212.9999999999964</c:v>
                </c:pt>
                <c:pt idx="302" formatCode="General">
                  <c:v>-3213</c:v>
                </c:pt>
              </c:numCache>
            </c:numRef>
          </c:yVal>
          <c:smooth val="0"/>
          <c:extLst>
            <c:ext xmlns:c16="http://schemas.microsoft.com/office/drawing/2014/chart" uri="{C3380CC4-5D6E-409C-BE32-E72D297353CC}">
              <c16:uniqueId val="{00000000-B3C2-4C0E-9C52-39710E059E23}"/>
            </c:ext>
          </c:extLst>
        </c:ser>
        <c:ser>
          <c:idx val="2"/>
          <c:order val="1"/>
          <c:tx>
            <c:v>Stock</c:v>
          </c:tx>
          <c:spPr>
            <a:ln w="19050" cap="rnd">
              <a:solidFill>
                <a:srgbClr val="A0A0A0"/>
              </a:solidFill>
              <a:prstDash val="dash"/>
              <a:round/>
            </a:ln>
            <a:effectLst/>
          </c:spPr>
          <c:marker>
            <c:symbol val="none"/>
          </c:marker>
          <c:xVal>
            <c:numRef>
              <c:f>Calc!$A$2:$A$304</c:f>
              <c:numCache>
                <c:formatCode>_(* #,##0.00_);_(* \(#,##0.00\);_(* "-"??_);_(@_)</c:formatCode>
                <c:ptCount val="303"/>
                <c:pt idx="0">
                  <c:v>0</c:v>
                </c:pt>
                <c:pt idx="1">
                  <c:v>4.79</c:v>
                </c:pt>
                <c:pt idx="2">
                  <c:v>9.59</c:v>
                </c:pt>
                <c:pt idx="3">
                  <c:v>14.38</c:v>
                </c:pt>
                <c:pt idx="4">
                  <c:v>19.170000000000002</c:v>
                </c:pt>
                <c:pt idx="5">
                  <c:v>23.96</c:v>
                </c:pt>
                <c:pt idx="6">
                  <c:v>28.76</c:v>
                </c:pt>
                <c:pt idx="7">
                  <c:v>33.549999999999997</c:v>
                </c:pt>
                <c:pt idx="8">
                  <c:v>38.340000000000003</c:v>
                </c:pt>
                <c:pt idx="9">
                  <c:v>43.14</c:v>
                </c:pt>
                <c:pt idx="10">
                  <c:v>47.93</c:v>
                </c:pt>
                <c:pt idx="11">
                  <c:v>52.72</c:v>
                </c:pt>
                <c:pt idx="12">
                  <c:v>57.51</c:v>
                </c:pt>
                <c:pt idx="13">
                  <c:v>62.31</c:v>
                </c:pt>
                <c:pt idx="14">
                  <c:v>67.099999999999994</c:v>
                </c:pt>
                <c:pt idx="15">
                  <c:v>71.89</c:v>
                </c:pt>
                <c:pt idx="16">
                  <c:v>76.680000000000007</c:v>
                </c:pt>
                <c:pt idx="17">
                  <c:v>81.48</c:v>
                </c:pt>
                <c:pt idx="18">
                  <c:v>86.27</c:v>
                </c:pt>
                <c:pt idx="19">
                  <c:v>91.06</c:v>
                </c:pt>
                <c:pt idx="20">
                  <c:v>95.86</c:v>
                </c:pt>
                <c:pt idx="21">
                  <c:v>100.65</c:v>
                </c:pt>
                <c:pt idx="22">
                  <c:v>105.44</c:v>
                </c:pt>
                <c:pt idx="23">
                  <c:v>110.23</c:v>
                </c:pt>
                <c:pt idx="24">
                  <c:v>115.03</c:v>
                </c:pt>
                <c:pt idx="25">
                  <c:v>119.82</c:v>
                </c:pt>
                <c:pt idx="26">
                  <c:v>124.61</c:v>
                </c:pt>
                <c:pt idx="27">
                  <c:v>129.41</c:v>
                </c:pt>
                <c:pt idx="28">
                  <c:v>134.19999999999999</c:v>
                </c:pt>
                <c:pt idx="29">
                  <c:v>138.99</c:v>
                </c:pt>
                <c:pt idx="30">
                  <c:v>143.78</c:v>
                </c:pt>
                <c:pt idx="31">
                  <c:v>148.58000000000001</c:v>
                </c:pt>
                <c:pt idx="32">
                  <c:v>153.37</c:v>
                </c:pt>
                <c:pt idx="33">
                  <c:v>158.16</c:v>
                </c:pt>
                <c:pt idx="34">
                  <c:v>162.96</c:v>
                </c:pt>
                <c:pt idx="35">
                  <c:v>167.75</c:v>
                </c:pt>
                <c:pt idx="36">
                  <c:v>172.54</c:v>
                </c:pt>
                <c:pt idx="37">
                  <c:v>177.33</c:v>
                </c:pt>
                <c:pt idx="38">
                  <c:v>182.13</c:v>
                </c:pt>
                <c:pt idx="39">
                  <c:v>186.92</c:v>
                </c:pt>
                <c:pt idx="40">
                  <c:v>191.71</c:v>
                </c:pt>
                <c:pt idx="41">
                  <c:v>196.5</c:v>
                </c:pt>
                <c:pt idx="42">
                  <c:v>201.3</c:v>
                </c:pt>
                <c:pt idx="43">
                  <c:v>206.09</c:v>
                </c:pt>
                <c:pt idx="44">
                  <c:v>210.88</c:v>
                </c:pt>
                <c:pt idx="45">
                  <c:v>215.68</c:v>
                </c:pt>
                <c:pt idx="46">
                  <c:v>220.47</c:v>
                </c:pt>
                <c:pt idx="47">
                  <c:v>225.26</c:v>
                </c:pt>
                <c:pt idx="48">
                  <c:v>230.05</c:v>
                </c:pt>
                <c:pt idx="49">
                  <c:v>234.85</c:v>
                </c:pt>
                <c:pt idx="50">
                  <c:v>239.64</c:v>
                </c:pt>
                <c:pt idx="51">
                  <c:v>244.43</c:v>
                </c:pt>
                <c:pt idx="52">
                  <c:v>249.23</c:v>
                </c:pt>
                <c:pt idx="53">
                  <c:v>254.02</c:v>
                </c:pt>
                <c:pt idx="54">
                  <c:v>258.81</c:v>
                </c:pt>
                <c:pt idx="55">
                  <c:v>263.60000000000002</c:v>
                </c:pt>
                <c:pt idx="56">
                  <c:v>268.39999999999998</c:v>
                </c:pt>
                <c:pt idx="57">
                  <c:v>273.19</c:v>
                </c:pt>
                <c:pt idx="58">
                  <c:v>277.98</c:v>
                </c:pt>
                <c:pt idx="59">
                  <c:v>282.77999999999997</c:v>
                </c:pt>
                <c:pt idx="60">
                  <c:v>287.57</c:v>
                </c:pt>
                <c:pt idx="61">
                  <c:v>292.36</c:v>
                </c:pt>
                <c:pt idx="62">
                  <c:v>297.14999999999998</c:v>
                </c:pt>
                <c:pt idx="63">
                  <c:v>301.95</c:v>
                </c:pt>
                <c:pt idx="64">
                  <c:v>306.74</c:v>
                </c:pt>
                <c:pt idx="65">
                  <c:v>311.52999999999997</c:v>
                </c:pt>
                <c:pt idx="66">
                  <c:v>316.32</c:v>
                </c:pt>
                <c:pt idx="67">
                  <c:v>321.12</c:v>
                </c:pt>
                <c:pt idx="68">
                  <c:v>325.91000000000003</c:v>
                </c:pt>
                <c:pt idx="69">
                  <c:v>330.7</c:v>
                </c:pt>
                <c:pt idx="70">
                  <c:v>335.5</c:v>
                </c:pt>
                <c:pt idx="71">
                  <c:v>340.29</c:v>
                </c:pt>
                <c:pt idx="72">
                  <c:v>345.08</c:v>
                </c:pt>
                <c:pt idx="73">
                  <c:v>349.87</c:v>
                </c:pt>
                <c:pt idx="74">
                  <c:v>354.67</c:v>
                </c:pt>
                <c:pt idx="75">
                  <c:v>359.46</c:v>
                </c:pt>
                <c:pt idx="76">
                  <c:v>364.25</c:v>
                </c:pt>
                <c:pt idx="77">
                  <c:v>369.05</c:v>
                </c:pt>
                <c:pt idx="78">
                  <c:v>373.84</c:v>
                </c:pt>
                <c:pt idx="79">
                  <c:v>378.63</c:v>
                </c:pt>
                <c:pt idx="80">
                  <c:v>383.42</c:v>
                </c:pt>
                <c:pt idx="81">
                  <c:v>388.22</c:v>
                </c:pt>
                <c:pt idx="82">
                  <c:v>393.01</c:v>
                </c:pt>
                <c:pt idx="83">
                  <c:v>397.8</c:v>
                </c:pt>
                <c:pt idx="84">
                  <c:v>400</c:v>
                </c:pt>
                <c:pt idx="85">
                  <c:v>402.6</c:v>
                </c:pt>
                <c:pt idx="86">
                  <c:v>407.39</c:v>
                </c:pt>
                <c:pt idx="87">
                  <c:v>412.18</c:v>
                </c:pt>
                <c:pt idx="88">
                  <c:v>416.97</c:v>
                </c:pt>
                <c:pt idx="89">
                  <c:v>421.77</c:v>
                </c:pt>
                <c:pt idx="90">
                  <c:v>426.56</c:v>
                </c:pt>
                <c:pt idx="91">
                  <c:v>431.35</c:v>
                </c:pt>
                <c:pt idx="92">
                  <c:v>436.14</c:v>
                </c:pt>
                <c:pt idx="93">
                  <c:v>440.94</c:v>
                </c:pt>
                <c:pt idx="94">
                  <c:v>445.73</c:v>
                </c:pt>
                <c:pt idx="95">
                  <c:v>450</c:v>
                </c:pt>
                <c:pt idx="96">
                  <c:v>450.52</c:v>
                </c:pt>
                <c:pt idx="97">
                  <c:v>455.32</c:v>
                </c:pt>
                <c:pt idx="98">
                  <c:v>460.11</c:v>
                </c:pt>
                <c:pt idx="99">
                  <c:v>464.9</c:v>
                </c:pt>
                <c:pt idx="100">
                  <c:v>469.69</c:v>
                </c:pt>
                <c:pt idx="101">
                  <c:v>474.49</c:v>
                </c:pt>
                <c:pt idx="102">
                  <c:v>479.28</c:v>
                </c:pt>
                <c:pt idx="103">
                  <c:v>484.07</c:v>
                </c:pt>
                <c:pt idx="104">
                  <c:v>488.87</c:v>
                </c:pt>
                <c:pt idx="105">
                  <c:v>493.66</c:v>
                </c:pt>
                <c:pt idx="106">
                  <c:v>498.45</c:v>
                </c:pt>
                <c:pt idx="107">
                  <c:v>500</c:v>
                </c:pt>
                <c:pt idx="108">
                  <c:v>503.24</c:v>
                </c:pt>
                <c:pt idx="109">
                  <c:v>508.04</c:v>
                </c:pt>
                <c:pt idx="110">
                  <c:v>512.83000000000004</c:v>
                </c:pt>
                <c:pt idx="111">
                  <c:v>517.62</c:v>
                </c:pt>
                <c:pt idx="112">
                  <c:v>522.41999999999996</c:v>
                </c:pt>
                <c:pt idx="113">
                  <c:v>527.21</c:v>
                </c:pt>
                <c:pt idx="114">
                  <c:v>532</c:v>
                </c:pt>
                <c:pt idx="115">
                  <c:v>536.79</c:v>
                </c:pt>
                <c:pt idx="116">
                  <c:v>541.59</c:v>
                </c:pt>
                <c:pt idx="117">
                  <c:v>546.38</c:v>
                </c:pt>
                <c:pt idx="118">
                  <c:v>550</c:v>
                </c:pt>
                <c:pt idx="119">
                  <c:v>551.16999999999996</c:v>
                </c:pt>
                <c:pt idx="120">
                  <c:v>555.96</c:v>
                </c:pt>
                <c:pt idx="121">
                  <c:v>560.76</c:v>
                </c:pt>
                <c:pt idx="122">
                  <c:v>565.54999999999995</c:v>
                </c:pt>
                <c:pt idx="123">
                  <c:v>570.34</c:v>
                </c:pt>
                <c:pt idx="124">
                  <c:v>575.14</c:v>
                </c:pt>
                <c:pt idx="125">
                  <c:v>579.92999999999995</c:v>
                </c:pt>
                <c:pt idx="126">
                  <c:v>584.72</c:v>
                </c:pt>
                <c:pt idx="127">
                  <c:v>589.51</c:v>
                </c:pt>
                <c:pt idx="128">
                  <c:v>594.30999999999995</c:v>
                </c:pt>
                <c:pt idx="129">
                  <c:v>599.1</c:v>
                </c:pt>
                <c:pt idx="130">
                  <c:v>603.89</c:v>
                </c:pt>
                <c:pt idx="131">
                  <c:v>608.69000000000005</c:v>
                </c:pt>
                <c:pt idx="132">
                  <c:v>613.48</c:v>
                </c:pt>
                <c:pt idx="133">
                  <c:v>618.27</c:v>
                </c:pt>
                <c:pt idx="134">
                  <c:v>623.05999999999995</c:v>
                </c:pt>
                <c:pt idx="135">
                  <c:v>627.86</c:v>
                </c:pt>
                <c:pt idx="136">
                  <c:v>632.65</c:v>
                </c:pt>
                <c:pt idx="137">
                  <c:v>637.44000000000005</c:v>
                </c:pt>
                <c:pt idx="138">
                  <c:v>642.24</c:v>
                </c:pt>
                <c:pt idx="139">
                  <c:v>647.03</c:v>
                </c:pt>
                <c:pt idx="140">
                  <c:v>651.82000000000005</c:v>
                </c:pt>
                <c:pt idx="141">
                  <c:v>656.61</c:v>
                </c:pt>
                <c:pt idx="142">
                  <c:v>661.41</c:v>
                </c:pt>
                <c:pt idx="143">
                  <c:v>666.2</c:v>
                </c:pt>
                <c:pt idx="144">
                  <c:v>670.99</c:v>
                </c:pt>
                <c:pt idx="145">
                  <c:v>675.78</c:v>
                </c:pt>
                <c:pt idx="146">
                  <c:v>680.58</c:v>
                </c:pt>
                <c:pt idx="147">
                  <c:v>685.37</c:v>
                </c:pt>
                <c:pt idx="148">
                  <c:v>690.16</c:v>
                </c:pt>
                <c:pt idx="149">
                  <c:v>694.96</c:v>
                </c:pt>
                <c:pt idx="150">
                  <c:v>699.75</c:v>
                </c:pt>
                <c:pt idx="151">
                  <c:v>704.54</c:v>
                </c:pt>
                <c:pt idx="152">
                  <c:v>709.33</c:v>
                </c:pt>
                <c:pt idx="153">
                  <c:v>714.13</c:v>
                </c:pt>
                <c:pt idx="154">
                  <c:v>718.92</c:v>
                </c:pt>
                <c:pt idx="155">
                  <c:v>723.71</c:v>
                </c:pt>
                <c:pt idx="156">
                  <c:v>728.51</c:v>
                </c:pt>
                <c:pt idx="157">
                  <c:v>733.3</c:v>
                </c:pt>
                <c:pt idx="158">
                  <c:v>738.09</c:v>
                </c:pt>
                <c:pt idx="159">
                  <c:v>742.88</c:v>
                </c:pt>
                <c:pt idx="160">
                  <c:v>747.68</c:v>
                </c:pt>
                <c:pt idx="161">
                  <c:v>752.47</c:v>
                </c:pt>
                <c:pt idx="162">
                  <c:v>757.26</c:v>
                </c:pt>
                <c:pt idx="163">
                  <c:v>762.06</c:v>
                </c:pt>
                <c:pt idx="164">
                  <c:v>766.85</c:v>
                </c:pt>
                <c:pt idx="165">
                  <c:v>771.64</c:v>
                </c:pt>
                <c:pt idx="166">
                  <c:v>776.43</c:v>
                </c:pt>
                <c:pt idx="167">
                  <c:v>781.23</c:v>
                </c:pt>
                <c:pt idx="168">
                  <c:v>786.02</c:v>
                </c:pt>
                <c:pt idx="169">
                  <c:v>790.81</c:v>
                </c:pt>
                <c:pt idx="170">
                  <c:v>795.6</c:v>
                </c:pt>
                <c:pt idx="171">
                  <c:v>800.4</c:v>
                </c:pt>
                <c:pt idx="172">
                  <c:v>805.19</c:v>
                </c:pt>
                <c:pt idx="173">
                  <c:v>809.98</c:v>
                </c:pt>
                <c:pt idx="174">
                  <c:v>814.78</c:v>
                </c:pt>
                <c:pt idx="175">
                  <c:v>819.57</c:v>
                </c:pt>
                <c:pt idx="176">
                  <c:v>824.36</c:v>
                </c:pt>
                <c:pt idx="177">
                  <c:v>829.15</c:v>
                </c:pt>
                <c:pt idx="178">
                  <c:v>833.95</c:v>
                </c:pt>
                <c:pt idx="179">
                  <c:v>838.74</c:v>
                </c:pt>
                <c:pt idx="180">
                  <c:v>843.53</c:v>
                </c:pt>
                <c:pt idx="181">
                  <c:v>848.33</c:v>
                </c:pt>
                <c:pt idx="182">
                  <c:v>853.12</c:v>
                </c:pt>
                <c:pt idx="183">
                  <c:v>857.91</c:v>
                </c:pt>
                <c:pt idx="184">
                  <c:v>862.7</c:v>
                </c:pt>
                <c:pt idx="185">
                  <c:v>867.5</c:v>
                </c:pt>
                <c:pt idx="186">
                  <c:v>872.29</c:v>
                </c:pt>
                <c:pt idx="187">
                  <c:v>877.08</c:v>
                </c:pt>
                <c:pt idx="188">
                  <c:v>881.88</c:v>
                </c:pt>
                <c:pt idx="189">
                  <c:v>886.67</c:v>
                </c:pt>
                <c:pt idx="190">
                  <c:v>891.46</c:v>
                </c:pt>
                <c:pt idx="191">
                  <c:v>896.25</c:v>
                </c:pt>
                <c:pt idx="192">
                  <c:v>901.05</c:v>
                </c:pt>
                <c:pt idx="193">
                  <c:v>905.84</c:v>
                </c:pt>
                <c:pt idx="194">
                  <c:v>910.63</c:v>
                </c:pt>
                <c:pt idx="195">
                  <c:v>915.42</c:v>
                </c:pt>
                <c:pt idx="196">
                  <c:v>920.22</c:v>
                </c:pt>
                <c:pt idx="197">
                  <c:v>925.01</c:v>
                </c:pt>
                <c:pt idx="198">
                  <c:v>929.8</c:v>
                </c:pt>
                <c:pt idx="199">
                  <c:v>934.6</c:v>
                </c:pt>
                <c:pt idx="200">
                  <c:v>939.39</c:v>
                </c:pt>
                <c:pt idx="201">
                  <c:v>944.18</c:v>
                </c:pt>
                <c:pt idx="202">
                  <c:v>948.97</c:v>
                </c:pt>
                <c:pt idx="203">
                  <c:v>953.77</c:v>
                </c:pt>
                <c:pt idx="204">
                  <c:v>958.56</c:v>
                </c:pt>
                <c:pt idx="205">
                  <c:v>963.35</c:v>
                </c:pt>
                <c:pt idx="206">
                  <c:v>968.15</c:v>
                </c:pt>
                <c:pt idx="207">
                  <c:v>972.94</c:v>
                </c:pt>
                <c:pt idx="208">
                  <c:v>977.73</c:v>
                </c:pt>
                <c:pt idx="209">
                  <c:v>982.52</c:v>
                </c:pt>
                <c:pt idx="210">
                  <c:v>987.32</c:v>
                </c:pt>
                <c:pt idx="211">
                  <c:v>992.11</c:v>
                </c:pt>
                <c:pt idx="212">
                  <c:v>996.9</c:v>
                </c:pt>
                <c:pt idx="213">
                  <c:v>1001.7</c:v>
                </c:pt>
                <c:pt idx="214">
                  <c:v>1006.49</c:v>
                </c:pt>
                <c:pt idx="215">
                  <c:v>1011.28</c:v>
                </c:pt>
                <c:pt idx="216">
                  <c:v>1016.07</c:v>
                </c:pt>
                <c:pt idx="217">
                  <c:v>1020.87</c:v>
                </c:pt>
                <c:pt idx="218">
                  <c:v>1025.6600000000001</c:v>
                </c:pt>
                <c:pt idx="219">
                  <c:v>1030.45</c:v>
                </c:pt>
                <c:pt idx="220">
                  <c:v>1035.24</c:v>
                </c:pt>
                <c:pt idx="221">
                  <c:v>1040.04</c:v>
                </c:pt>
                <c:pt idx="222">
                  <c:v>1044.83</c:v>
                </c:pt>
                <c:pt idx="223">
                  <c:v>1049.6199999999999</c:v>
                </c:pt>
                <c:pt idx="224">
                  <c:v>1054.42</c:v>
                </c:pt>
                <c:pt idx="225">
                  <c:v>1059.21</c:v>
                </c:pt>
                <c:pt idx="226">
                  <c:v>1064</c:v>
                </c:pt>
                <c:pt idx="227">
                  <c:v>1068.79</c:v>
                </c:pt>
                <c:pt idx="228">
                  <c:v>1073.5899999999999</c:v>
                </c:pt>
                <c:pt idx="229">
                  <c:v>1078.3800000000001</c:v>
                </c:pt>
                <c:pt idx="230">
                  <c:v>1083.17</c:v>
                </c:pt>
                <c:pt idx="231">
                  <c:v>1087.97</c:v>
                </c:pt>
                <c:pt idx="232">
                  <c:v>1092.76</c:v>
                </c:pt>
                <c:pt idx="233">
                  <c:v>1097.55</c:v>
                </c:pt>
                <c:pt idx="234">
                  <c:v>1102.3399999999999</c:v>
                </c:pt>
                <c:pt idx="235">
                  <c:v>1107.1400000000001</c:v>
                </c:pt>
                <c:pt idx="236">
                  <c:v>1111.93</c:v>
                </c:pt>
                <c:pt idx="237">
                  <c:v>1116.72</c:v>
                </c:pt>
                <c:pt idx="238">
                  <c:v>1121.52</c:v>
                </c:pt>
                <c:pt idx="239">
                  <c:v>1126.31</c:v>
                </c:pt>
                <c:pt idx="240">
                  <c:v>1131.0999999999999</c:v>
                </c:pt>
                <c:pt idx="241">
                  <c:v>1135.8900000000001</c:v>
                </c:pt>
                <c:pt idx="242">
                  <c:v>1140.69</c:v>
                </c:pt>
                <c:pt idx="243">
                  <c:v>1145.48</c:v>
                </c:pt>
                <c:pt idx="244">
                  <c:v>1150.27</c:v>
                </c:pt>
                <c:pt idx="245">
                  <c:v>1155.06</c:v>
                </c:pt>
                <c:pt idx="246">
                  <c:v>1159.8599999999999</c:v>
                </c:pt>
                <c:pt idx="247">
                  <c:v>1164.6500000000001</c:v>
                </c:pt>
                <c:pt idx="248">
                  <c:v>1169.44</c:v>
                </c:pt>
                <c:pt idx="249">
                  <c:v>1174.24</c:v>
                </c:pt>
                <c:pt idx="250">
                  <c:v>1179.03</c:v>
                </c:pt>
                <c:pt idx="251">
                  <c:v>1183.82</c:v>
                </c:pt>
                <c:pt idx="252">
                  <c:v>1188.6099999999999</c:v>
                </c:pt>
                <c:pt idx="253">
                  <c:v>1193.4100000000001</c:v>
                </c:pt>
                <c:pt idx="254">
                  <c:v>1198.2</c:v>
                </c:pt>
                <c:pt idx="255">
                  <c:v>1202.99</c:v>
                </c:pt>
                <c:pt idx="256">
                  <c:v>1207.79</c:v>
                </c:pt>
                <c:pt idx="257">
                  <c:v>1212.58</c:v>
                </c:pt>
                <c:pt idx="258">
                  <c:v>1217.3699999999999</c:v>
                </c:pt>
                <c:pt idx="259">
                  <c:v>1222.1600000000001</c:v>
                </c:pt>
                <c:pt idx="260">
                  <c:v>1226.96</c:v>
                </c:pt>
                <c:pt idx="261">
                  <c:v>1231.75</c:v>
                </c:pt>
                <c:pt idx="262">
                  <c:v>1236.54</c:v>
                </c:pt>
                <c:pt idx="263">
                  <c:v>1241.3399999999999</c:v>
                </c:pt>
                <c:pt idx="264">
                  <c:v>1246.1300000000001</c:v>
                </c:pt>
                <c:pt idx="265">
                  <c:v>1250.92</c:v>
                </c:pt>
                <c:pt idx="266">
                  <c:v>1255.71</c:v>
                </c:pt>
                <c:pt idx="267">
                  <c:v>1260.51</c:v>
                </c:pt>
                <c:pt idx="268">
                  <c:v>1265.3</c:v>
                </c:pt>
                <c:pt idx="269">
                  <c:v>1270.0899999999999</c:v>
                </c:pt>
                <c:pt idx="270">
                  <c:v>1274.8800000000001</c:v>
                </c:pt>
                <c:pt idx="271">
                  <c:v>1279.68</c:v>
                </c:pt>
                <c:pt idx="272">
                  <c:v>1284.47</c:v>
                </c:pt>
                <c:pt idx="273">
                  <c:v>1289.26</c:v>
                </c:pt>
                <c:pt idx="274">
                  <c:v>1294.06</c:v>
                </c:pt>
                <c:pt idx="275">
                  <c:v>1298.8499999999999</c:v>
                </c:pt>
                <c:pt idx="276">
                  <c:v>1303.6400000000001</c:v>
                </c:pt>
                <c:pt idx="277">
                  <c:v>1308.43</c:v>
                </c:pt>
                <c:pt idx="278">
                  <c:v>1313.23</c:v>
                </c:pt>
                <c:pt idx="279">
                  <c:v>1318.02</c:v>
                </c:pt>
                <c:pt idx="280">
                  <c:v>1322.81</c:v>
                </c:pt>
                <c:pt idx="281">
                  <c:v>1327.61</c:v>
                </c:pt>
                <c:pt idx="282">
                  <c:v>1332.4</c:v>
                </c:pt>
                <c:pt idx="283">
                  <c:v>1337.19</c:v>
                </c:pt>
                <c:pt idx="284">
                  <c:v>1341.98</c:v>
                </c:pt>
                <c:pt idx="285">
                  <c:v>1346.78</c:v>
                </c:pt>
                <c:pt idx="286">
                  <c:v>1351.57</c:v>
                </c:pt>
                <c:pt idx="287">
                  <c:v>1356.36</c:v>
                </c:pt>
                <c:pt idx="288">
                  <c:v>1361.16</c:v>
                </c:pt>
                <c:pt idx="289">
                  <c:v>1365.95</c:v>
                </c:pt>
                <c:pt idx="290">
                  <c:v>1370.74</c:v>
                </c:pt>
                <c:pt idx="291">
                  <c:v>1375.53</c:v>
                </c:pt>
                <c:pt idx="292">
                  <c:v>1380.33</c:v>
                </c:pt>
                <c:pt idx="293">
                  <c:v>1385.12</c:v>
                </c:pt>
                <c:pt idx="294">
                  <c:v>1389.91</c:v>
                </c:pt>
                <c:pt idx="295">
                  <c:v>1394.7</c:v>
                </c:pt>
                <c:pt idx="296">
                  <c:v>1399.5</c:v>
                </c:pt>
                <c:pt idx="297">
                  <c:v>1404.29</c:v>
                </c:pt>
                <c:pt idx="298">
                  <c:v>1409.08</c:v>
                </c:pt>
                <c:pt idx="299">
                  <c:v>1413.88</c:v>
                </c:pt>
                <c:pt idx="300">
                  <c:v>1418.67</c:v>
                </c:pt>
                <c:pt idx="301">
                  <c:v>1423.46</c:v>
                </c:pt>
                <c:pt idx="302" formatCode="General">
                  <c:v>1428.25</c:v>
                </c:pt>
              </c:numCache>
            </c:numRef>
          </c:xVal>
          <c:yVal>
            <c:numRef>
              <c:f>Calc!$C$2:$C$304</c:f>
              <c:numCache>
                <c:formatCode>_(* #,##0.00_);_(* \(#,##0.00\);_(* "-"??_);_(@_)</c:formatCode>
                <c:ptCount val="303"/>
                <c:pt idx="0">
                  <c:v>-51000</c:v>
                </c:pt>
                <c:pt idx="1">
                  <c:v>-50281.5</c:v>
                </c:pt>
                <c:pt idx="2">
                  <c:v>-49561.5</c:v>
                </c:pt>
                <c:pt idx="3">
                  <c:v>-48843</c:v>
                </c:pt>
                <c:pt idx="4">
                  <c:v>-48124.5</c:v>
                </c:pt>
                <c:pt idx="5">
                  <c:v>-47406</c:v>
                </c:pt>
                <c:pt idx="6">
                  <c:v>-46686</c:v>
                </c:pt>
                <c:pt idx="7">
                  <c:v>-45967.5</c:v>
                </c:pt>
                <c:pt idx="8">
                  <c:v>-45249</c:v>
                </c:pt>
                <c:pt idx="9">
                  <c:v>-44529</c:v>
                </c:pt>
                <c:pt idx="10">
                  <c:v>-43810.5</c:v>
                </c:pt>
                <c:pt idx="11">
                  <c:v>-43092</c:v>
                </c:pt>
                <c:pt idx="12">
                  <c:v>-42373.5</c:v>
                </c:pt>
                <c:pt idx="13">
                  <c:v>-41653.5</c:v>
                </c:pt>
                <c:pt idx="14">
                  <c:v>-40935</c:v>
                </c:pt>
                <c:pt idx="15">
                  <c:v>-40216.5</c:v>
                </c:pt>
                <c:pt idx="16">
                  <c:v>-39498</c:v>
                </c:pt>
                <c:pt idx="17">
                  <c:v>-38778</c:v>
                </c:pt>
                <c:pt idx="18">
                  <c:v>-38059.5</c:v>
                </c:pt>
                <c:pt idx="19">
                  <c:v>-37341</c:v>
                </c:pt>
                <c:pt idx="20">
                  <c:v>-36621</c:v>
                </c:pt>
                <c:pt idx="21">
                  <c:v>-35902.5</c:v>
                </c:pt>
                <c:pt idx="22">
                  <c:v>-35184</c:v>
                </c:pt>
                <c:pt idx="23">
                  <c:v>-34465.5</c:v>
                </c:pt>
                <c:pt idx="24">
                  <c:v>-33745.5</c:v>
                </c:pt>
                <c:pt idx="25">
                  <c:v>-33027</c:v>
                </c:pt>
                <c:pt idx="26">
                  <c:v>-32308.5</c:v>
                </c:pt>
                <c:pt idx="27">
                  <c:v>-31588.5</c:v>
                </c:pt>
                <c:pt idx="28">
                  <c:v>-30870</c:v>
                </c:pt>
                <c:pt idx="29">
                  <c:v>-30151.5</c:v>
                </c:pt>
                <c:pt idx="30">
                  <c:v>-29433</c:v>
                </c:pt>
                <c:pt idx="31">
                  <c:v>-28712.999999999996</c:v>
                </c:pt>
                <c:pt idx="32">
                  <c:v>-27994.5</c:v>
                </c:pt>
                <c:pt idx="33">
                  <c:v>-27276</c:v>
                </c:pt>
                <c:pt idx="34">
                  <c:v>-26556</c:v>
                </c:pt>
                <c:pt idx="35">
                  <c:v>-25837.5</c:v>
                </c:pt>
                <c:pt idx="36">
                  <c:v>-25119</c:v>
                </c:pt>
                <c:pt idx="37">
                  <c:v>-24400.499999999996</c:v>
                </c:pt>
                <c:pt idx="38">
                  <c:v>-23680.5</c:v>
                </c:pt>
                <c:pt idx="39">
                  <c:v>-22962.000000000004</c:v>
                </c:pt>
                <c:pt idx="40">
                  <c:v>-22243.5</c:v>
                </c:pt>
                <c:pt idx="41">
                  <c:v>-21525</c:v>
                </c:pt>
                <c:pt idx="42">
                  <c:v>-20805</c:v>
                </c:pt>
                <c:pt idx="43">
                  <c:v>-20086.5</c:v>
                </c:pt>
                <c:pt idx="44">
                  <c:v>-19368</c:v>
                </c:pt>
                <c:pt idx="45">
                  <c:v>-18648</c:v>
                </c:pt>
                <c:pt idx="46">
                  <c:v>-17929.5</c:v>
                </c:pt>
                <c:pt idx="47">
                  <c:v>-17211</c:v>
                </c:pt>
                <c:pt idx="48">
                  <c:v>-16492.5</c:v>
                </c:pt>
                <c:pt idx="49">
                  <c:v>-15772.5</c:v>
                </c:pt>
                <c:pt idx="50">
                  <c:v>-15054.000000000002</c:v>
                </c:pt>
                <c:pt idx="51">
                  <c:v>-14335.499999999998</c:v>
                </c:pt>
                <c:pt idx="52">
                  <c:v>-13615.500000000002</c:v>
                </c:pt>
                <c:pt idx="53">
                  <c:v>-12896.999999999998</c:v>
                </c:pt>
                <c:pt idx="54">
                  <c:v>-12178.5</c:v>
                </c:pt>
                <c:pt idx="55">
                  <c:v>-11459.999999999996</c:v>
                </c:pt>
                <c:pt idx="56">
                  <c:v>-10740.000000000004</c:v>
                </c:pt>
                <c:pt idx="57">
                  <c:v>-10021.5</c:v>
                </c:pt>
                <c:pt idx="58">
                  <c:v>-9302.9999999999964</c:v>
                </c:pt>
                <c:pt idx="59">
                  <c:v>-8583.0000000000036</c:v>
                </c:pt>
                <c:pt idx="60">
                  <c:v>-7864.5000000000009</c:v>
                </c:pt>
                <c:pt idx="61">
                  <c:v>-7145.9999999999982</c:v>
                </c:pt>
                <c:pt idx="62">
                  <c:v>-6427.5000000000036</c:v>
                </c:pt>
                <c:pt idx="63">
                  <c:v>-5707.5000000000018</c:v>
                </c:pt>
                <c:pt idx="64">
                  <c:v>-4988.9999999999982</c:v>
                </c:pt>
                <c:pt idx="65">
                  <c:v>-4270.5000000000036</c:v>
                </c:pt>
                <c:pt idx="66">
                  <c:v>-3552.0000000000009</c:v>
                </c:pt>
                <c:pt idx="67">
                  <c:v>-2831.9999999999991</c:v>
                </c:pt>
                <c:pt idx="68">
                  <c:v>-2113.4999999999964</c:v>
                </c:pt>
                <c:pt idx="69">
                  <c:v>-1395.0000000000018</c:v>
                </c:pt>
                <c:pt idx="70">
                  <c:v>-675</c:v>
                </c:pt>
                <c:pt idx="71">
                  <c:v>43.50000000000307</c:v>
                </c:pt>
                <c:pt idx="72">
                  <c:v>761.99999999999761</c:v>
                </c:pt>
                <c:pt idx="73">
                  <c:v>1480.5000000000007</c:v>
                </c:pt>
                <c:pt idx="74">
                  <c:v>2200.5000000000023</c:v>
                </c:pt>
                <c:pt idx="75">
                  <c:v>2918.9999999999968</c:v>
                </c:pt>
                <c:pt idx="76">
                  <c:v>3637.5</c:v>
                </c:pt>
                <c:pt idx="77">
                  <c:v>4357.5000000000018</c:v>
                </c:pt>
                <c:pt idx="78">
                  <c:v>5075.9999999999964</c:v>
                </c:pt>
                <c:pt idx="79">
                  <c:v>5794.4999999999991</c:v>
                </c:pt>
                <c:pt idx="80">
                  <c:v>6513.0000000000027</c:v>
                </c:pt>
                <c:pt idx="81">
                  <c:v>7233.0000000000036</c:v>
                </c:pt>
                <c:pt idx="82">
                  <c:v>7951.4999999999982</c:v>
                </c:pt>
                <c:pt idx="83">
                  <c:v>8670.0000000000018</c:v>
                </c:pt>
                <c:pt idx="84">
                  <c:v>9000</c:v>
                </c:pt>
                <c:pt idx="85">
                  <c:v>9390.0000000000036</c:v>
                </c:pt>
                <c:pt idx="86">
                  <c:v>10108.499999999998</c:v>
                </c:pt>
                <c:pt idx="87">
                  <c:v>10827.000000000002</c:v>
                </c:pt>
                <c:pt idx="88">
                  <c:v>11545.500000000004</c:v>
                </c:pt>
                <c:pt idx="89">
                  <c:v>12265.499999999996</c:v>
                </c:pt>
                <c:pt idx="90">
                  <c:v>12984</c:v>
                </c:pt>
                <c:pt idx="91">
                  <c:v>13702.500000000004</c:v>
                </c:pt>
                <c:pt idx="92">
                  <c:v>14420.999999999998</c:v>
                </c:pt>
                <c:pt idx="93">
                  <c:v>15141</c:v>
                </c:pt>
                <c:pt idx="94">
                  <c:v>15859.500000000004</c:v>
                </c:pt>
                <c:pt idx="95">
                  <c:v>16500</c:v>
                </c:pt>
                <c:pt idx="96">
                  <c:v>16577.999999999996</c:v>
                </c:pt>
                <c:pt idx="97">
                  <c:v>17298</c:v>
                </c:pt>
                <c:pt idx="98">
                  <c:v>18016.500000000004</c:v>
                </c:pt>
                <c:pt idx="99">
                  <c:v>18734.999999999996</c:v>
                </c:pt>
                <c:pt idx="100">
                  <c:v>19453.5</c:v>
                </c:pt>
                <c:pt idx="101">
                  <c:v>20173.5</c:v>
                </c:pt>
                <c:pt idx="102">
                  <c:v>20891.999999999996</c:v>
                </c:pt>
                <c:pt idx="103">
                  <c:v>21610.5</c:v>
                </c:pt>
                <c:pt idx="104">
                  <c:v>22330.5</c:v>
                </c:pt>
                <c:pt idx="105">
                  <c:v>23049.000000000004</c:v>
                </c:pt>
                <c:pt idx="106">
                  <c:v>23767.5</c:v>
                </c:pt>
                <c:pt idx="107">
                  <c:v>24000</c:v>
                </c:pt>
                <c:pt idx="108">
                  <c:v>24486</c:v>
                </c:pt>
                <c:pt idx="109">
                  <c:v>25206.000000000004</c:v>
                </c:pt>
                <c:pt idx="110">
                  <c:v>25924.500000000007</c:v>
                </c:pt>
                <c:pt idx="111">
                  <c:v>26643</c:v>
                </c:pt>
                <c:pt idx="112">
                  <c:v>27362.999999999993</c:v>
                </c:pt>
                <c:pt idx="113">
                  <c:v>28081.500000000007</c:v>
                </c:pt>
                <c:pt idx="114">
                  <c:v>28800</c:v>
                </c:pt>
                <c:pt idx="115">
                  <c:v>29518.499999999993</c:v>
                </c:pt>
                <c:pt idx="116">
                  <c:v>30238.500000000004</c:v>
                </c:pt>
                <c:pt idx="117">
                  <c:v>30957</c:v>
                </c:pt>
                <c:pt idx="118">
                  <c:v>31500</c:v>
                </c:pt>
                <c:pt idx="119">
                  <c:v>31675.499999999993</c:v>
                </c:pt>
                <c:pt idx="120">
                  <c:v>32394.000000000007</c:v>
                </c:pt>
                <c:pt idx="121">
                  <c:v>33114</c:v>
                </c:pt>
                <c:pt idx="122">
                  <c:v>33832.499999999993</c:v>
                </c:pt>
                <c:pt idx="123">
                  <c:v>34551.000000000007</c:v>
                </c:pt>
                <c:pt idx="124">
                  <c:v>35271</c:v>
                </c:pt>
                <c:pt idx="125">
                  <c:v>35989.499999999993</c:v>
                </c:pt>
                <c:pt idx="126">
                  <c:v>36708.000000000007</c:v>
                </c:pt>
                <c:pt idx="127">
                  <c:v>37426.5</c:v>
                </c:pt>
                <c:pt idx="128">
                  <c:v>38146.499999999993</c:v>
                </c:pt>
                <c:pt idx="129">
                  <c:v>38865</c:v>
                </c:pt>
                <c:pt idx="130">
                  <c:v>39583.5</c:v>
                </c:pt>
                <c:pt idx="131">
                  <c:v>40303.500000000007</c:v>
                </c:pt>
                <c:pt idx="132">
                  <c:v>41022</c:v>
                </c:pt>
                <c:pt idx="133">
                  <c:v>41740.5</c:v>
                </c:pt>
                <c:pt idx="134">
                  <c:v>42458.999999999993</c:v>
                </c:pt>
                <c:pt idx="135">
                  <c:v>43179</c:v>
                </c:pt>
                <c:pt idx="136">
                  <c:v>43897.5</c:v>
                </c:pt>
                <c:pt idx="137">
                  <c:v>44616.000000000007</c:v>
                </c:pt>
                <c:pt idx="138">
                  <c:v>45336</c:v>
                </c:pt>
                <c:pt idx="139">
                  <c:v>46054.499999999993</c:v>
                </c:pt>
                <c:pt idx="140">
                  <c:v>46773.000000000007</c:v>
                </c:pt>
                <c:pt idx="141">
                  <c:v>47491.5</c:v>
                </c:pt>
                <c:pt idx="142">
                  <c:v>48211.499999999993</c:v>
                </c:pt>
                <c:pt idx="143">
                  <c:v>48930.000000000007</c:v>
                </c:pt>
                <c:pt idx="144">
                  <c:v>49648.5</c:v>
                </c:pt>
                <c:pt idx="145">
                  <c:v>50366.999999999993</c:v>
                </c:pt>
                <c:pt idx="146">
                  <c:v>51087.000000000007</c:v>
                </c:pt>
                <c:pt idx="147">
                  <c:v>51805.5</c:v>
                </c:pt>
                <c:pt idx="148">
                  <c:v>52523.999999999993</c:v>
                </c:pt>
                <c:pt idx="149">
                  <c:v>53244.000000000007</c:v>
                </c:pt>
                <c:pt idx="150">
                  <c:v>53962.5</c:v>
                </c:pt>
                <c:pt idx="151">
                  <c:v>54680.999999999993</c:v>
                </c:pt>
                <c:pt idx="152">
                  <c:v>55399.500000000007</c:v>
                </c:pt>
                <c:pt idx="153">
                  <c:v>56119.5</c:v>
                </c:pt>
                <c:pt idx="154">
                  <c:v>56837.999999999993</c:v>
                </c:pt>
                <c:pt idx="155">
                  <c:v>57556.500000000007</c:v>
                </c:pt>
                <c:pt idx="156">
                  <c:v>58276.5</c:v>
                </c:pt>
                <c:pt idx="157">
                  <c:v>58994.999999999993</c:v>
                </c:pt>
                <c:pt idx="158">
                  <c:v>59713.500000000007</c:v>
                </c:pt>
                <c:pt idx="159">
                  <c:v>60432</c:v>
                </c:pt>
                <c:pt idx="160">
                  <c:v>61151.999999999993</c:v>
                </c:pt>
                <c:pt idx="161">
                  <c:v>61870.500000000007</c:v>
                </c:pt>
                <c:pt idx="162">
                  <c:v>62589</c:v>
                </c:pt>
                <c:pt idx="163">
                  <c:v>63308.999999999993</c:v>
                </c:pt>
                <c:pt idx="164">
                  <c:v>64027.5</c:v>
                </c:pt>
                <c:pt idx="165">
                  <c:v>64746</c:v>
                </c:pt>
                <c:pt idx="166">
                  <c:v>65464.499999999993</c:v>
                </c:pt>
                <c:pt idx="167">
                  <c:v>66184.5</c:v>
                </c:pt>
                <c:pt idx="168">
                  <c:v>66903</c:v>
                </c:pt>
                <c:pt idx="169">
                  <c:v>67621.499999999985</c:v>
                </c:pt>
                <c:pt idx="170">
                  <c:v>68340</c:v>
                </c:pt>
                <c:pt idx="171">
                  <c:v>69060</c:v>
                </c:pt>
                <c:pt idx="172">
                  <c:v>69778.500000000015</c:v>
                </c:pt>
                <c:pt idx="173">
                  <c:v>70497</c:v>
                </c:pt>
                <c:pt idx="174">
                  <c:v>71217</c:v>
                </c:pt>
                <c:pt idx="175">
                  <c:v>71935.500000000015</c:v>
                </c:pt>
                <c:pt idx="176">
                  <c:v>72654</c:v>
                </c:pt>
                <c:pt idx="177">
                  <c:v>73372.5</c:v>
                </c:pt>
                <c:pt idx="178">
                  <c:v>74092.5</c:v>
                </c:pt>
                <c:pt idx="179">
                  <c:v>74811</c:v>
                </c:pt>
                <c:pt idx="180">
                  <c:v>75529.5</c:v>
                </c:pt>
                <c:pt idx="181">
                  <c:v>76249.5</c:v>
                </c:pt>
                <c:pt idx="182">
                  <c:v>76968</c:v>
                </c:pt>
                <c:pt idx="183">
                  <c:v>77686.5</c:v>
                </c:pt>
                <c:pt idx="184">
                  <c:v>78405</c:v>
                </c:pt>
                <c:pt idx="185">
                  <c:v>79125</c:v>
                </c:pt>
                <c:pt idx="186">
                  <c:v>79843.5</c:v>
                </c:pt>
                <c:pt idx="187">
                  <c:v>80562</c:v>
                </c:pt>
                <c:pt idx="188">
                  <c:v>81282</c:v>
                </c:pt>
                <c:pt idx="189">
                  <c:v>82000.5</c:v>
                </c:pt>
                <c:pt idx="190">
                  <c:v>82719</c:v>
                </c:pt>
                <c:pt idx="191">
                  <c:v>83437.5</c:v>
                </c:pt>
                <c:pt idx="192">
                  <c:v>84157.5</c:v>
                </c:pt>
                <c:pt idx="193">
                  <c:v>84876</c:v>
                </c:pt>
                <c:pt idx="194">
                  <c:v>85594.5</c:v>
                </c:pt>
                <c:pt idx="195">
                  <c:v>86313</c:v>
                </c:pt>
                <c:pt idx="196">
                  <c:v>87033</c:v>
                </c:pt>
                <c:pt idx="197">
                  <c:v>87751.5</c:v>
                </c:pt>
                <c:pt idx="198">
                  <c:v>88470</c:v>
                </c:pt>
                <c:pt idx="199">
                  <c:v>89190</c:v>
                </c:pt>
                <c:pt idx="200">
                  <c:v>89908.5</c:v>
                </c:pt>
                <c:pt idx="201">
                  <c:v>90626.999999999985</c:v>
                </c:pt>
                <c:pt idx="202">
                  <c:v>91345.5</c:v>
                </c:pt>
                <c:pt idx="203">
                  <c:v>92065.5</c:v>
                </c:pt>
                <c:pt idx="204">
                  <c:v>92783.999999999985</c:v>
                </c:pt>
                <c:pt idx="205">
                  <c:v>93502.5</c:v>
                </c:pt>
                <c:pt idx="206">
                  <c:v>94222.5</c:v>
                </c:pt>
                <c:pt idx="207">
                  <c:v>94941.000000000015</c:v>
                </c:pt>
                <c:pt idx="208">
                  <c:v>95659.5</c:v>
                </c:pt>
                <c:pt idx="209">
                  <c:v>96378</c:v>
                </c:pt>
                <c:pt idx="210">
                  <c:v>97098.000000000015</c:v>
                </c:pt>
                <c:pt idx="211">
                  <c:v>97816.5</c:v>
                </c:pt>
                <c:pt idx="212">
                  <c:v>98535</c:v>
                </c:pt>
                <c:pt idx="213">
                  <c:v>99255</c:v>
                </c:pt>
                <c:pt idx="214">
                  <c:v>99973.5</c:v>
                </c:pt>
                <c:pt idx="215">
                  <c:v>100692</c:v>
                </c:pt>
                <c:pt idx="216">
                  <c:v>101410.50000000001</c:v>
                </c:pt>
                <c:pt idx="217">
                  <c:v>102130.5</c:v>
                </c:pt>
                <c:pt idx="218">
                  <c:v>102849.00000000001</c:v>
                </c:pt>
                <c:pt idx="219">
                  <c:v>103567.5</c:v>
                </c:pt>
                <c:pt idx="220">
                  <c:v>104286</c:v>
                </c:pt>
                <c:pt idx="221">
                  <c:v>105006</c:v>
                </c:pt>
                <c:pt idx="222">
                  <c:v>105724.49999999999</c:v>
                </c:pt>
                <c:pt idx="223">
                  <c:v>106442.99999999999</c:v>
                </c:pt>
                <c:pt idx="224">
                  <c:v>107163.00000000001</c:v>
                </c:pt>
                <c:pt idx="225">
                  <c:v>107881.5</c:v>
                </c:pt>
                <c:pt idx="226">
                  <c:v>108600</c:v>
                </c:pt>
                <c:pt idx="227">
                  <c:v>109318.5</c:v>
                </c:pt>
                <c:pt idx="228">
                  <c:v>110038.49999999999</c:v>
                </c:pt>
                <c:pt idx="229">
                  <c:v>110757.00000000001</c:v>
                </c:pt>
                <c:pt idx="230">
                  <c:v>111475.50000000001</c:v>
                </c:pt>
                <c:pt idx="231">
                  <c:v>112195.5</c:v>
                </c:pt>
                <c:pt idx="232">
                  <c:v>112914</c:v>
                </c:pt>
                <c:pt idx="233">
                  <c:v>113632.5</c:v>
                </c:pt>
                <c:pt idx="234">
                  <c:v>114350.99999999999</c:v>
                </c:pt>
                <c:pt idx="235">
                  <c:v>115071.00000000001</c:v>
                </c:pt>
                <c:pt idx="236">
                  <c:v>115789.50000000001</c:v>
                </c:pt>
                <c:pt idx="237">
                  <c:v>116508</c:v>
                </c:pt>
                <c:pt idx="238">
                  <c:v>117228</c:v>
                </c:pt>
                <c:pt idx="239">
                  <c:v>117946.49999999999</c:v>
                </c:pt>
                <c:pt idx="240">
                  <c:v>118664.99999999999</c:v>
                </c:pt>
                <c:pt idx="241">
                  <c:v>119383.50000000001</c:v>
                </c:pt>
                <c:pt idx="242">
                  <c:v>120103.50000000001</c:v>
                </c:pt>
                <c:pt idx="243">
                  <c:v>120822</c:v>
                </c:pt>
                <c:pt idx="244">
                  <c:v>121540.5</c:v>
                </c:pt>
                <c:pt idx="245">
                  <c:v>122258.99999999999</c:v>
                </c:pt>
                <c:pt idx="246">
                  <c:v>122978.99999999999</c:v>
                </c:pt>
                <c:pt idx="247">
                  <c:v>123697.50000000001</c:v>
                </c:pt>
                <c:pt idx="248">
                  <c:v>124416.00000000001</c:v>
                </c:pt>
                <c:pt idx="249">
                  <c:v>125136</c:v>
                </c:pt>
                <c:pt idx="250">
                  <c:v>125854.5</c:v>
                </c:pt>
                <c:pt idx="251">
                  <c:v>126572.99999999999</c:v>
                </c:pt>
                <c:pt idx="252">
                  <c:v>127291.49999999999</c:v>
                </c:pt>
                <c:pt idx="253">
                  <c:v>128011.50000000001</c:v>
                </c:pt>
                <c:pt idx="254">
                  <c:v>128730</c:v>
                </c:pt>
                <c:pt idx="255">
                  <c:v>129448.5</c:v>
                </c:pt>
                <c:pt idx="256">
                  <c:v>130168.5</c:v>
                </c:pt>
                <c:pt idx="257">
                  <c:v>130886.99999999999</c:v>
                </c:pt>
                <c:pt idx="258">
                  <c:v>131605.49999999997</c:v>
                </c:pt>
                <c:pt idx="259">
                  <c:v>132324</c:v>
                </c:pt>
                <c:pt idx="260">
                  <c:v>133044</c:v>
                </c:pt>
                <c:pt idx="261">
                  <c:v>133762.5</c:v>
                </c:pt>
                <c:pt idx="262">
                  <c:v>134481</c:v>
                </c:pt>
                <c:pt idx="263">
                  <c:v>135201</c:v>
                </c:pt>
                <c:pt idx="264">
                  <c:v>135919.50000000003</c:v>
                </c:pt>
                <c:pt idx="265">
                  <c:v>136638</c:v>
                </c:pt>
                <c:pt idx="266">
                  <c:v>137356.5</c:v>
                </c:pt>
                <c:pt idx="267">
                  <c:v>138076.5</c:v>
                </c:pt>
                <c:pt idx="268">
                  <c:v>138795</c:v>
                </c:pt>
                <c:pt idx="269">
                  <c:v>139513.5</c:v>
                </c:pt>
                <c:pt idx="270">
                  <c:v>140232.00000000003</c:v>
                </c:pt>
                <c:pt idx="271">
                  <c:v>140952</c:v>
                </c:pt>
                <c:pt idx="272">
                  <c:v>141670.5</c:v>
                </c:pt>
                <c:pt idx="273">
                  <c:v>142389</c:v>
                </c:pt>
                <c:pt idx="274">
                  <c:v>143109</c:v>
                </c:pt>
                <c:pt idx="275">
                  <c:v>143827.5</c:v>
                </c:pt>
                <c:pt idx="276">
                  <c:v>144546.00000000003</c:v>
                </c:pt>
                <c:pt idx="277">
                  <c:v>145264.5</c:v>
                </c:pt>
                <c:pt idx="278">
                  <c:v>145984.5</c:v>
                </c:pt>
                <c:pt idx="279">
                  <c:v>146703</c:v>
                </c:pt>
                <c:pt idx="280">
                  <c:v>147421.5</c:v>
                </c:pt>
                <c:pt idx="281">
                  <c:v>148141.49999999997</c:v>
                </c:pt>
                <c:pt idx="282">
                  <c:v>148860</c:v>
                </c:pt>
                <c:pt idx="283">
                  <c:v>149578.5</c:v>
                </c:pt>
                <c:pt idx="284">
                  <c:v>150297</c:v>
                </c:pt>
                <c:pt idx="285">
                  <c:v>151017</c:v>
                </c:pt>
                <c:pt idx="286">
                  <c:v>151735.5</c:v>
                </c:pt>
                <c:pt idx="287">
                  <c:v>152453.99999999997</c:v>
                </c:pt>
                <c:pt idx="288">
                  <c:v>153174</c:v>
                </c:pt>
                <c:pt idx="289">
                  <c:v>153892.5</c:v>
                </c:pt>
                <c:pt idx="290">
                  <c:v>154611</c:v>
                </c:pt>
                <c:pt idx="291">
                  <c:v>155329.5</c:v>
                </c:pt>
                <c:pt idx="292">
                  <c:v>156049.5</c:v>
                </c:pt>
                <c:pt idx="293">
                  <c:v>156767.99999999997</c:v>
                </c:pt>
                <c:pt idx="294">
                  <c:v>157486.5</c:v>
                </c:pt>
                <c:pt idx="295">
                  <c:v>158205</c:v>
                </c:pt>
                <c:pt idx="296">
                  <c:v>158925</c:v>
                </c:pt>
                <c:pt idx="297">
                  <c:v>159643.5</c:v>
                </c:pt>
                <c:pt idx="298">
                  <c:v>160362</c:v>
                </c:pt>
                <c:pt idx="299">
                  <c:v>161082.00000000003</c:v>
                </c:pt>
                <c:pt idx="300">
                  <c:v>161800.5</c:v>
                </c:pt>
                <c:pt idx="301">
                  <c:v>162519</c:v>
                </c:pt>
                <c:pt idx="302" formatCode="General">
                  <c:v>163237.5</c:v>
                </c:pt>
              </c:numCache>
            </c:numRef>
          </c:yVal>
          <c:smooth val="0"/>
          <c:extLst>
            <c:ext xmlns:c16="http://schemas.microsoft.com/office/drawing/2014/chart" uri="{C3380CC4-5D6E-409C-BE32-E72D297353CC}">
              <c16:uniqueId val="{00000147-AB98-496C-A55C-7B81739F26A0}"/>
            </c:ext>
          </c:extLst>
        </c:ser>
        <c:ser>
          <c:idx val="3"/>
          <c:order val="2"/>
          <c:tx>
            <c:v>Combined</c:v>
          </c:tx>
          <c:spPr>
            <a:ln w="31750" cap="rnd">
              <a:solidFill>
                <a:srgbClr val="7030A0"/>
              </a:solidFill>
              <a:prstDash val="solid"/>
              <a:round/>
            </a:ln>
            <a:effectLst/>
          </c:spPr>
          <c:marker>
            <c:symbol val="none"/>
          </c:marker>
          <c:xVal>
            <c:numRef>
              <c:f>Calc!$A$2:$A$304</c:f>
              <c:numCache>
                <c:formatCode>_(* #,##0.00_);_(* \(#,##0.00\);_(* "-"??_);_(@_)</c:formatCode>
                <c:ptCount val="303"/>
                <c:pt idx="0">
                  <c:v>0</c:v>
                </c:pt>
                <c:pt idx="1">
                  <c:v>4.79</c:v>
                </c:pt>
                <c:pt idx="2">
                  <c:v>9.59</c:v>
                </c:pt>
                <c:pt idx="3">
                  <c:v>14.38</c:v>
                </c:pt>
                <c:pt idx="4">
                  <c:v>19.170000000000002</c:v>
                </c:pt>
                <c:pt idx="5">
                  <c:v>23.96</c:v>
                </c:pt>
                <c:pt idx="6">
                  <c:v>28.76</c:v>
                </c:pt>
                <c:pt idx="7">
                  <c:v>33.549999999999997</c:v>
                </c:pt>
                <c:pt idx="8">
                  <c:v>38.340000000000003</c:v>
                </c:pt>
                <c:pt idx="9">
                  <c:v>43.14</c:v>
                </c:pt>
                <c:pt idx="10">
                  <c:v>47.93</c:v>
                </c:pt>
                <c:pt idx="11">
                  <c:v>52.72</c:v>
                </c:pt>
                <c:pt idx="12">
                  <c:v>57.51</c:v>
                </c:pt>
                <c:pt idx="13">
                  <c:v>62.31</c:v>
                </c:pt>
                <c:pt idx="14">
                  <c:v>67.099999999999994</c:v>
                </c:pt>
                <c:pt idx="15">
                  <c:v>71.89</c:v>
                </c:pt>
                <c:pt idx="16">
                  <c:v>76.680000000000007</c:v>
                </c:pt>
                <c:pt idx="17">
                  <c:v>81.48</c:v>
                </c:pt>
                <c:pt idx="18">
                  <c:v>86.27</c:v>
                </c:pt>
                <c:pt idx="19">
                  <c:v>91.06</c:v>
                </c:pt>
                <c:pt idx="20">
                  <c:v>95.86</c:v>
                </c:pt>
                <c:pt idx="21">
                  <c:v>100.65</c:v>
                </c:pt>
                <c:pt idx="22">
                  <c:v>105.44</c:v>
                </c:pt>
                <c:pt idx="23">
                  <c:v>110.23</c:v>
                </c:pt>
                <c:pt idx="24">
                  <c:v>115.03</c:v>
                </c:pt>
                <c:pt idx="25">
                  <c:v>119.82</c:v>
                </c:pt>
                <c:pt idx="26">
                  <c:v>124.61</c:v>
                </c:pt>
                <c:pt idx="27">
                  <c:v>129.41</c:v>
                </c:pt>
                <c:pt idx="28">
                  <c:v>134.19999999999999</c:v>
                </c:pt>
                <c:pt idx="29">
                  <c:v>138.99</c:v>
                </c:pt>
                <c:pt idx="30">
                  <c:v>143.78</c:v>
                </c:pt>
                <c:pt idx="31">
                  <c:v>148.58000000000001</c:v>
                </c:pt>
                <c:pt idx="32">
                  <c:v>153.37</c:v>
                </c:pt>
                <c:pt idx="33">
                  <c:v>158.16</c:v>
                </c:pt>
                <c:pt idx="34">
                  <c:v>162.96</c:v>
                </c:pt>
                <c:pt idx="35">
                  <c:v>167.75</c:v>
                </c:pt>
                <c:pt idx="36">
                  <c:v>172.54</c:v>
                </c:pt>
                <c:pt idx="37">
                  <c:v>177.33</c:v>
                </c:pt>
                <c:pt idx="38">
                  <c:v>182.13</c:v>
                </c:pt>
                <c:pt idx="39">
                  <c:v>186.92</c:v>
                </c:pt>
                <c:pt idx="40">
                  <c:v>191.71</c:v>
                </c:pt>
                <c:pt idx="41">
                  <c:v>196.5</c:v>
                </c:pt>
                <c:pt idx="42">
                  <c:v>201.3</c:v>
                </c:pt>
                <c:pt idx="43">
                  <c:v>206.09</c:v>
                </c:pt>
                <c:pt idx="44">
                  <c:v>210.88</c:v>
                </c:pt>
                <c:pt idx="45">
                  <c:v>215.68</c:v>
                </c:pt>
                <c:pt idx="46">
                  <c:v>220.47</c:v>
                </c:pt>
                <c:pt idx="47">
                  <c:v>225.26</c:v>
                </c:pt>
                <c:pt idx="48">
                  <c:v>230.05</c:v>
                </c:pt>
                <c:pt idx="49">
                  <c:v>234.85</c:v>
                </c:pt>
                <c:pt idx="50">
                  <c:v>239.64</c:v>
                </c:pt>
                <c:pt idx="51">
                  <c:v>244.43</c:v>
                </c:pt>
                <c:pt idx="52">
                  <c:v>249.23</c:v>
                </c:pt>
                <c:pt idx="53">
                  <c:v>254.02</c:v>
                </c:pt>
                <c:pt idx="54">
                  <c:v>258.81</c:v>
                </c:pt>
                <c:pt idx="55">
                  <c:v>263.60000000000002</c:v>
                </c:pt>
                <c:pt idx="56">
                  <c:v>268.39999999999998</c:v>
                </c:pt>
                <c:pt idx="57">
                  <c:v>273.19</c:v>
                </c:pt>
                <c:pt idx="58">
                  <c:v>277.98</c:v>
                </c:pt>
                <c:pt idx="59">
                  <c:v>282.77999999999997</c:v>
                </c:pt>
                <c:pt idx="60">
                  <c:v>287.57</c:v>
                </c:pt>
                <c:pt idx="61">
                  <c:v>292.36</c:v>
                </c:pt>
                <c:pt idx="62">
                  <c:v>297.14999999999998</c:v>
                </c:pt>
                <c:pt idx="63">
                  <c:v>301.95</c:v>
                </c:pt>
                <c:pt idx="64">
                  <c:v>306.74</c:v>
                </c:pt>
                <c:pt idx="65">
                  <c:v>311.52999999999997</c:v>
                </c:pt>
                <c:pt idx="66">
                  <c:v>316.32</c:v>
                </c:pt>
                <c:pt idx="67">
                  <c:v>321.12</c:v>
                </c:pt>
                <c:pt idx="68">
                  <c:v>325.91000000000003</c:v>
                </c:pt>
                <c:pt idx="69">
                  <c:v>330.7</c:v>
                </c:pt>
                <c:pt idx="70">
                  <c:v>335.5</c:v>
                </c:pt>
                <c:pt idx="71">
                  <c:v>340.29</c:v>
                </c:pt>
                <c:pt idx="72">
                  <c:v>345.08</c:v>
                </c:pt>
                <c:pt idx="73">
                  <c:v>349.87</c:v>
                </c:pt>
                <c:pt idx="74">
                  <c:v>354.67</c:v>
                </c:pt>
                <c:pt idx="75">
                  <c:v>359.46</c:v>
                </c:pt>
                <c:pt idx="76">
                  <c:v>364.25</c:v>
                </c:pt>
                <c:pt idx="77">
                  <c:v>369.05</c:v>
                </c:pt>
                <c:pt idx="78">
                  <c:v>373.84</c:v>
                </c:pt>
                <c:pt idx="79">
                  <c:v>378.63</c:v>
                </c:pt>
                <c:pt idx="80">
                  <c:v>383.42</c:v>
                </c:pt>
                <c:pt idx="81">
                  <c:v>388.22</c:v>
                </c:pt>
                <c:pt idx="82">
                  <c:v>393.01</c:v>
                </c:pt>
                <c:pt idx="83">
                  <c:v>397.8</c:v>
                </c:pt>
                <c:pt idx="84">
                  <c:v>400</c:v>
                </c:pt>
                <c:pt idx="85">
                  <c:v>402.6</c:v>
                </c:pt>
                <c:pt idx="86">
                  <c:v>407.39</c:v>
                </c:pt>
                <c:pt idx="87">
                  <c:v>412.18</c:v>
                </c:pt>
                <c:pt idx="88">
                  <c:v>416.97</c:v>
                </c:pt>
                <c:pt idx="89">
                  <c:v>421.77</c:v>
                </c:pt>
                <c:pt idx="90">
                  <c:v>426.56</c:v>
                </c:pt>
                <c:pt idx="91">
                  <c:v>431.35</c:v>
                </c:pt>
                <c:pt idx="92">
                  <c:v>436.14</c:v>
                </c:pt>
                <c:pt idx="93">
                  <c:v>440.94</c:v>
                </c:pt>
                <c:pt idx="94">
                  <c:v>445.73</c:v>
                </c:pt>
                <c:pt idx="95">
                  <c:v>450</c:v>
                </c:pt>
                <c:pt idx="96">
                  <c:v>450.52</c:v>
                </c:pt>
                <c:pt idx="97">
                  <c:v>455.32</c:v>
                </c:pt>
                <c:pt idx="98">
                  <c:v>460.11</c:v>
                </c:pt>
                <c:pt idx="99">
                  <c:v>464.9</c:v>
                </c:pt>
                <c:pt idx="100">
                  <c:v>469.69</c:v>
                </c:pt>
                <c:pt idx="101">
                  <c:v>474.49</c:v>
                </c:pt>
                <c:pt idx="102">
                  <c:v>479.28</c:v>
                </c:pt>
                <c:pt idx="103">
                  <c:v>484.07</c:v>
                </c:pt>
                <c:pt idx="104">
                  <c:v>488.87</c:v>
                </c:pt>
                <c:pt idx="105">
                  <c:v>493.66</c:v>
                </c:pt>
                <c:pt idx="106">
                  <c:v>498.45</c:v>
                </c:pt>
                <c:pt idx="107">
                  <c:v>500</c:v>
                </c:pt>
                <c:pt idx="108">
                  <c:v>503.24</c:v>
                </c:pt>
                <c:pt idx="109">
                  <c:v>508.04</c:v>
                </c:pt>
                <c:pt idx="110">
                  <c:v>512.83000000000004</c:v>
                </c:pt>
                <c:pt idx="111">
                  <c:v>517.62</c:v>
                </c:pt>
                <c:pt idx="112">
                  <c:v>522.41999999999996</c:v>
                </c:pt>
                <c:pt idx="113">
                  <c:v>527.21</c:v>
                </c:pt>
                <c:pt idx="114">
                  <c:v>532</c:v>
                </c:pt>
                <c:pt idx="115">
                  <c:v>536.79</c:v>
                </c:pt>
                <c:pt idx="116">
                  <c:v>541.59</c:v>
                </c:pt>
                <c:pt idx="117">
                  <c:v>546.38</c:v>
                </c:pt>
                <c:pt idx="118">
                  <c:v>550</c:v>
                </c:pt>
                <c:pt idx="119">
                  <c:v>551.16999999999996</c:v>
                </c:pt>
                <c:pt idx="120">
                  <c:v>555.96</c:v>
                </c:pt>
                <c:pt idx="121">
                  <c:v>560.76</c:v>
                </c:pt>
                <c:pt idx="122">
                  <c:v>565.54999999999995</c:v>
                </c:pt>
                <c:pt idx="123">
                  <c:v>570.34</c:v>
                </c:pt>
                <c:pt idx="124">
                  <c:v>575.14</c:v>
                </c:pt>
                <c:pt idx="125">
                  <c:v>579.92999999999995</c:v>
                </c:pt>
                <c:pt idx="126">
                  <c:v>584.72</c:v>
                </c:pt>
                <c:pt idx="127">
                  <c:v>589.51</c:v>
                </c:pt>
                <c:pt idx="128">
                  <c:v>594.30999999999995</c:v>
                </c:pt>
                <c:pt idx="129">
                  <c:v>599.1</c:v>
                </c:pt>
                <c:pt idx="130">
                  <c:v>603.89</c:v>
                </c:pt>
                <c:pt idx="131">
                  <c:v>608.69000000000005</c:v>
                </c:pt>
                <c:pt idx="132">
                  <c:v>613.48</c:v>
                </c:pt>
                <c:pt idx="133">
                  <c:v>618.27</c:v>
                </c:pt>
                <c:pt idx="134">
                  <c:v>623.05999999999995</c:v>
                </c:pt>
                <c:pt idx="135">
                  <c:v>627.86</c:v>
                </c:pt>
                <c:pt idx="136">
                  <c:v>632.65</c:v>
                </c:pt>
                <c:pt idx="137">
                  <c:v>637.44000000000005</c:v>
                </c:pt>
                <c:pt idx="138">
                  <c:v>642.24</c:v>
                </c:pt>
                <c:pt idx="139">
                  <c:v>647.03</c:v>
                </c:pt>
                <c:pt idx="140">
                  <c:v>651.82000000000005</c:v>
                </c:pt>
                <c:pt idx="141">
                  <c:v>656.61</c:v>
                </c:pt>
                <c:pt idx="142">
                  <c:v>661.41</c:v>
                </c:pt>
                <c:pt idx="143">
                  <c:v>666.2</c:v>
                </c:pt>
                <c:pt idx="144">
                  <c:v>670.99</c:v>
                </c:pt>
                <c:pt idx="145">
                  <c:v>675.78</c:v>
                </c:pt>
                <c:pt idx="146">
                  <c:v>680.58</c:v>
                </c:pt>
                <c:pt idx="147">
                  <c:v>685.37</c:v>
                </c:pt>
                <c:pt idx="148">
                  <c:v>690.16</c:v>
                </c:pt>
                <c:pt idx="149">
                  <c:v>694.96</c:v>
                </c:pt>
                <c:pt idx="150">
                  <c:v>699.75</c:v>
                </c:pt>
                <c:pt idx="151">
                  <c:v>704.54</c:v>
                </c:pt>
                <c:pt idx="152">
                  <c:v>709.33</c:v>
                </c:pt>
                <c:pt idx="153">
                  <c:v>714.13</c:v>
                </c:pt>
                <c:pt idx="154">
                  <c:v>718.92</c:v>
                </c:pt>
                <c:pt idx="155">
                  <c:v>723.71</c:v>
                </c:pt>
                <c:pt idx="156">
                  <c:v>728.51</c:v>
                </c:pt>
                <c:pt idx="157">
                  <c:v>733.3</c:v>
                </c:pt>
                <c:pt idx="158">
                  <c:v>738.09</c:v>
                </c:pt>
                <c:pt idx="159">
                  <c:v>742.88</c:v>
                </c:pt>
                <c:pt idx="160">
                  <c:v>747.68</c:v>
                </c:pt>
                <c:pt idx="161">
                  <c:v>752.47</c:v>
                </c:pt>
                <c:pt idx="162">
                  <c:v>757.26</c:v>
                </c:pt>
                <c:pt idx="163">
                  <c:v>762.06</c:v>
                </c:pt>
                <c:pt idx="164">
                  <c:v>766.85</c:v>
                </c:pt>
                <c:pt idx="165">
                  <c:v>771.64</c:v>
                </c:pt>
                <c:pt idx="166">
                  <c:v>776.43</c:v>
                </c:pt>
                <c:pt idx="167">
                  <c:v>781.23</c:v>
                </c:pt>
                <c:pt idx="168">
                  <c:v>786.02</c:v>
                </c:pt>
                <c:pt idx="169">
                  <c:v>790.81</c:v>
                </c:pt>
                <c:pt idx="170">
                  <c:v>795.6</c:v>
                </c:pt>
                <c:pt idx="171">
                  <c:v>800.4</c:v>
                </c:pt>
                <c:pt idx="172">
                  <c:v>805.19</c:v>
                </c:pt>
                <c:pt idx="173">
                  <c:v>809.98</c:v>
                </c:pt>
                <c:pt idx="174">
                  <c:v>814.78</c:v>
                </c:pt>
                <c:pt idx="175">
                  <c:v>819.57</c:v>
                </c:pt>
                <c:pt idx="176">
                  <c:v>824.36</c:v>
                </c:pt>
                <c:pt idx="177">
                  <c:v>829.15</c:v>
                </c:pt>
                <c:pt idx="178">
                  <c:v>833.95</c:v>
                </c:pt>
                <c:pt idx="179">
                  <c:v>838.74</c:v>
                </c:pt>
                <c:pt idx="180">
                  <c:v>843.53</c:v>
                </c:pt>
                <c:pt idx="181">
                  <c:v>848.33</c:v>
                </c:pt>
                <c:pt idx="182">
                  <c:v>853.12</c:v>
                </c:pt>
                <c:pt idx="183">
                  <c:v>857.91</c:v>
                </c:pt>
                <c:pt idx="184">
                  <c:v>862.7</c:v>
                </c:pt>
                <c:pt idx="185">
                  <c:v>867.5</c:v>
                </c:pt>
                <c:pt idx="186">
                  <c:v>872.29</c:v>
                </c:pt>
                <c:pt idx="187">
                  <c:v>877.08</c:v>
                </c:pt>
                <c:pt idx="188">
                  <c:v>881.88</c:v>
                </c:pt>
                <c:pt idx="189">
                  <c:v>886.67</c:v>
                </c:pt>
                <c:pt idx="190">
                  <c:v>891.46</c:v>
                </c:pt>
                <c:pt idx="191">
                  <c:v>896.25</c:v>
                </c:pt>
                <c:pt idx="192">
                  <c:v>901.05</c:v>
                </c:pt>
                <c:pt idx="193">
                  <c:v>905.84</c:v>
                </c:pt>
                <c:pt idx="194">
                  <c:v>910.63</c:v>
                </c:pt>
                <c:pt idx="195">
                  <c:v>915.42</c:v>
                </c:pt>
                <c:pt idx="196">
                  <c:v>920.22</c:v>
                </c:pt>
                <c:pt idx="197">
                  <c:v>925.01</c:v>
                </c:pt>
                <c:pt idx="198">
                  <c:v>929.8</c:v>
                </c:pt>
                <c:pt idx="199">
                  <c:v>934.6</c:v>
                </c:pt>
                <c:pt idx="200">
                  <c:v>939.39</c:v>
                </c:pt>
                <c:pt idx="201">
                  <c:v>944.18</c:v>
                </c:pt>
                <c:pt idx="202">
                  <c:v>948.97</c:v>
                </c:pt>
                <c:pt idx="203">
                  <c:v>953.77</c:v>
                </c:pt>
                <c:pt idx="204">
                  <c:v>958.56</c:v>
                </c:pt>
                <c:pt idx="205">
                  <c:v>963.35</c:v>
                </c:pt>
                <c:pt idx="206">
                  <c:v>968.15</c:v>
                </c:pt>
                <c:pt idx="207">
                  <c:v>972.94</c:v>
                </c:pt>
                <c:pt idx="208">
                  <c:v>977.73</c:v>
                </c:pt>
                <c:pt idx="209">
                  <c:v>982.52</c:v>
                </c:pt>
                <c:pt idx="210">
                  <c:v>987.32</c:v>
                </c:pt>
                <c:pt idx="211">
                  <c:v>992.11</c:v>
                </c:pt>
                <c:pt idx="212">
                  <c:v>996.9</c:v>
                </c:pt>
                <c:pt idx="213">
                  <c:v>1001.7</c:v>
                </c:pt>
                <c:pt idx="214">
                  <c:v>1006.49</c:v>
                </c:pt>
                <c:pt idx="215">
                  <c:v>1011.28</c:v>
                </c:pt>
                <c:pt idx="216">
                  <c:v>1016.07</c:v>
                </c:pt>
                <c:pt idx="217">
                  <c:v>1020.87</c:v>
                </c:pt>
                <c:pt idx="218">
                  <c:v>1025.6600000000001</c:v>
                </c:pt>
                <c:pt idx="219">
                  <c:v>1030.45</c:v>
                </c:pt>
                <c:pt idx="220">
                  <c:v>1035.24</c:v>
                </c:pt>
                <c:pt idx="221">
                  <c:v>1040.04</c:v>
                </c:pt>
                <c:pt idx="222">
                  <c:v>1044.83</c:v>
                </c:pt>
                <c:pt idx="223">
                  <c:v>1049.6199999999999</c:v>
                </c:pt>
                <c:pt idx="224">
                  <c:v>1054.42</c:v>
                </c:pt>
                <c:pt idx="225">
                  <c:v>1059.21</c:v>
                </c:pt>
                <c:pt idx="226">
                  <c:v>1064</c:v>
                </c:pt>
                <c:pt idx="227">
                  <c:v>1068.79</c:v>
                </c:pt>
                <c:pt idx="228">
                  <c:v>1073.5899999999999</c:v>
                </c:pt>
                <c:pt idx="229">
                  <c:v>1078.3800000000001</c:v>
                </c:pt>
                <c:pt idx="230">
                  <c:v>1083.17</c:v>
                </c:pt>
                <c:pt idx="231">
                  <c:v>1087.97</c:v>
                </c:pt>
                <c:pt idx="232">
                  <c:v>1092.76</c:v>
                </c:pt>
                <c:pt idx="233">
                  <c:v>1097.55</c:v>
                </c:pt>
                <c:pt idx="234">
                  <c:v>1102.3399999999999</c:v>
                </c:pt>
                <c:pt idx="235">
                  <c:v>1107.1400000000001</c:v>
                </c:pt>
                <c:pt idx="236">
                  <c:v>1111.93</c:v>
                </c:pt>
                <c:pt idx="237">
                  <c:v>1116.72</c:v>
                </c:pt>
                <c:pt idx="238">
                  <c:v>1121.52</c:v>
                </c:pt>
                <c:pt idx="239">
                  <c:v>1126.31</c:v>
                </c:pt>
                <c:pt idx="240">
                  <c:v>1131.0999999999999</c:v>
                </c:pt>
                <c:pt idx="241">
                  <c:v>1135.8900000000001</c:v>
                </c:pt>
                <c:pt idx="242">
                  <c:v>1140.69</c:v>
                </c:pt>
                <c:pt idx="243">
                  <c:v>1145.48</c:v>
                </c:pt>
                <c:pt idx="244">
                  <c:v>1150.27</c:v>
                </c:pt>
                <c:pt idx="245">
                  <c:v>1155.06</c:v>
                </c:pt>
                <c:pt idx="246">
                  <c:v>1159.8599999999999</c:v>
                </c:pt>
                <c:pt idx="247">
                  <c:v>1164.6500000000001</c:v>
                </c:pt>
                <c:pt idx="248">
                  <c:v>1169.44</c:v>
                </c:pt>
                <c:pt idx="249">
                  <c:v>1174.24</c:v>
                </c:pt>
                <c:pt idx="250">
                  <c:v>1179.03</c:v>
                </c:pt>
                <c:pt idx="251">
                  <c:v>1183.82</c:v>
                </c:pt>
                <c:pt idx="252">
                  <c:v>1188.6099999999999</c:v>
                </c:pt>
                <c:pt idx="253">
                  <c:v>1193.4100000000001</c:v>
                </c:pt>
                <c:pt idx="254">
                  <c:v>1198.2</c:v>
                </c:pt>
                <c:pt idx="255">
                  <c:v>1202.99</c:v>
                </c:pt>
                <c:pt idx="256">
                  <c:v>1207.79</c:v>
                </c:pt>
                <c:pt idx="257">
                  <c:v>1212.58</c:v>
                </c:pt>
                <c:pt idx="258">
                  <c:v>1217.3699999999999</c:v>
                </c:pt>
                <c:pt idx="259">
                  <c:v>1222.1600000000001</c:v>
                </c:pt>
                <c:pt idx="260">
                  <c:v>1226.96</c:v>
                </c:pt>
                <c:pt idx="261">
                  <c:v>1231.75</c:v>
                </c:pt>
                <c:pt idx="262">
                  <c:v>1236.54</c:v>
                </c:pt>
                <c:pt idx="263">
                  <c:v>1241.3399999999999</c:v>
                </c:pt>
                <c:pt idx="264">
                  <c:v>1246.1300000000001</c:v>
                </c:pt>
                <c:pt idx="265">
                  <c:v>1250.92</c:v>
                </c:pt>
                <c:pt idx="266">
                  <c:v>1255.71</c:v>
                </c:pt>
                <c:pt idx="267">
                  <c:v>1260.51</c:v>
                </c:pt>
                <c:pt idx="268">
                  <c:v>1265.3</c:v>
                </c:pt>
                <c:pt idx="269">
                  <c:v>1270.0899999999999</c:v>
                </c:pt>
                <c:pt idx="270">
                  <c:v>1274.8800000000001</c:v>
                </c:pt>
                <c:pt idx="271">
                  <c:v>1279.68</c:v>
                </c:pt>
                <c:pt idx="272">
                  <c:v>1284.47</c:v>
                </c:pt>
                <c:pt idx="273">
                  <c:v>1289.26</c:v>
                </c:pt>
                <c:pt idx="274">
                  <c:v>1294.06</c:v>
                </c:pt>
                <c:pt idx="275">
                  <c:v>1298.8499999999999</c:v>
                </c:pt>
                <c:pt idx="276">
                  <c:v>1303.6400000000001</c:v>
                </c:pt>
                <c:pt idx="277">
                  <c:v>1308.43</c:v>
                </c:pt>
                <c:pt idx="278">
                  <c:v>1313.23</c:v>
                </c:pt>
                <c:pt idx="279">
                  <c:v>1318.02</c:v>
                </c:pt>
                <c:pt idx="280">
                  <c:v>1322.81</c:v>
                </c:pt>
                <c:pt idx="281">
                  <c:v>1327.61</c:v>
                </c:pt>
                <c:pt idx="282">
                  <c:v>1332.4</c:v>
                </c:pt>
                <c:pt idx="283">
                  <c:v>1337.19</c:v>
                </c:pt>
                <c:pt idx="284">
                  <c:v>1341.98</c:v>
                </c:pt>
                <c:pt idx="285">
                  <c:v>1346.78</c:v>
                </c:pt>
                <c:pt idx="286">
                  <c:v>1351.57</c:v>
                </c:pt>
                <c:pt idx="287">
                  <c:v>1356.36</c:v>
                </c:pt>
                <c:pt idx="288">
                  <c:v>1361.16</c:v>
                </c:pt>
                <c:pt idx="289">
                  <c:v>1365.95</c:v>
                </c:pt>
                <c:pt idx="290">
                  <c:v>1370.74</c:v>
                </c:pt>
                <c:pt idx="291">
                  <c:v>1375.53</c:v>
                </c:pt>
                <c:pt idx="292">
                  <c:v>1380.33</c:v>
                </c:pt>
                <c:pt idx="293">
                  <c:v>1385.12</c:v>
                </c:pt>
                <c:pt idx="294">
                  <c:v>1389.91</c:v>
                </c:pt>
                <c:pt idx="295">
                  <c:v>1394.7</c:v>
                </c:pt>
                <c:pt idx="296">
                  <c:v>1399.5</c:v>
                </c:pt>
                <c:pt idx="297">
                  <c:v>1404.29</c:v>
                </c:pt>
                <c:pt idx="298">
                  <c:v>1409.08</c:v>
                </c:pt>
                <c:pt idx="299">
                  <c:v>1413.88</c:v>
                </c:pt>
                <c:pt idx="300">
                  <c:v>1418.67</c:v>
                </c:pt>
                <c:pt idx="301">
                  <c:v>1423.46</c:v>
                </c:pt>
                <c:pt idx="302" formatCode="General">
                  <c:v>1428.25</c:v>
                </c:pt>
              </c:numCache>
            </c:numRef>
          </c:xVal>
          <c:yVal>
            <c:numRef>
              <c:f>Calc!$D$2:$D$304</c:f>
              <c:numCache>
                <c:formatCode>_(* #,##0.00_);_(* \(#,##0.00\);_(* "-"??_);_(@_)</c:formatCode>
                <c:ptCount val="303"/>
                <c:pt idx="0">
                  <c:v>-54213</c:v>
                </c:pt>
                <c:pt idx="1">
                  <c:v>-53494.5</c:v>
                </c:pt>
                <c:pt idx="2">
                  <c:v>-52774.5</c:v>
                </c:pt>
                <c:pt idx="3">
                  <c:v>-52056</c:v>
                </c:pt>
                <c:pt idx="4">
                  <c:v>-51337.5</c:v>
                </c:pt>
                <c:pt idx="5">
                  <c:v>-50619</c:v>
                </c:pt>
                <c:pt idx="6">
                  <c:v>-49899</c:v>
                </c:pt>
                <c:pt idx="7">
                  <c:v>-49180.5</c:v>
                </c:pt>
                <c:pt idx="8">
                  <c:v>-48462</c:v>
                </c:pt>
                <c:pt idx="9">
                  <c:v>-47742</c:v>
                </c:pt>
                <c:pt idx="10">
                  <c:v>-47023.5</c:v>
                </c:pt>
                <c:pt idx="11">
                  <c:v>-46305</c:v>
                </c:pt>
                <c:pt idx="12">
                  <c:v>-45586.5</c:v>
                </c:pt>
                <c:pt idx="13">
                  <c:v>-44866.5</c:v>
                </c:pt>
                <c:pt idx="14">
                  <c:v>-44148</c:v>
                </c:pt>
                <c:pt idx="15">
                  <c:v>-43429.5</c:v>
                </c:pt>
                <c:pt idx="16">
                  <c:v>-42711</c:v>
                </c:pt>
                <c:pt idx="17">
                  <c:v>-41991</c:v>
                </c:pt>
                <c:pt idx="18">
                  <c:v>-41272.5</c:v>
                </c:pt>
                <c:pt idx="19">
                  <c:v>-40554</c:v>
                </c:pt>
                <c:pt idx="20">
                  <c:v>-39834</c:v>
                </c:pt>
                <c:pt idx="21">
                  <c:v>-39115.5</c:v>
                </c:pt>
                <c:pt idx="22">
                  <c:v>-38397</c:v>
                </c:pt>
                <c:pt idx="23">
                  <c:v>-37678.5</c:v>
                </c:pt>
                <c:pt idx="24">
                  <c:v>-36958.5</c:v>
                </c:pt>
                <c:pt idx="25">
                  <c:v>-36240</c:v>
                </c:pt>
                <c:pt idx="26">
                  <c:v>-35521.5</c:v>
                </c:pt>
                <c:pt idx="27">
                  <c:v>-34801.5</c:v>
                </c:pt>
                <c:pt idx="28">
                  <c:v>-34083</c:v>
                </c:pt>
                <c:pt idx="29">
                  <c:v>-33364.5</c:v>
                </c:pt>
                <c:pt idx="30">
                  <c:v>-32646</c:v>
                </c:pt>
                <c:pt idx="31">
                  <c:v>-31925.999999999993</c:v>
                </c:pt>
                <c:pt idx="32">
                  <c:v>-31207.5</c:v>
                </c:pt>
                <c:pt idx="33">
                  <c:v>-30489.000000000004</c:v>
                </c:pt>
                <c:pt idx="34">
                  <c:v>-29768.999999999996</c:v>
                </c:pt>
                <c:pt idx="35">
                  <c:v>-29050.5</c:v>
                </c:pt>
                <c:pt idx="36">
                  <c:v>-28332.000000000004</c:v>
                </c:pt>
                <c:pt idx="37">
                  <c:v>-27613.499999999993</c:v>
                </c:pt>
                <c:pt idx="38">
                  <c:v>-26893.5</c:v>
                </c:pt>
                <c:pt idx="39">
                  <c:v>-26175.000000000007</c:v>
                </c:pt>
                <c:pt idx="40">
                  <c:v>-25456.499999999996</c:v>
                </c:pt>
                <c:pt idx="41">
                  <c:v>-24738</c:v>
                </c:pt>
                <c:pt idx="42">
                  <c:v>-24018</c:v>
                </c:pt>
                <c:pt idx="43">
                  <c:v>-23299.5</c:v>
                </c:pt>
                <c:pt idx="44">
                  <c:v>-22581</c:v>
                </c:pt>
                <c:pt idx="45">
                  <c:v>-21861</c:v>
                </c:pt>
                <c:pt idx="46">
                  <c:v>-21142.5</c:v>
                </c:pt>
                <c:pt idx="47">
                  <c:v>-20424</c:v>
                </c:pt>
                <c:pt idx="48">
                  <c:v>-19705.5</c:v>
                </c:pt>
                <c:pt idx="49">
                  <c:v>-18985.5</c:v>
                </c:pt>
                <c:pt idx="50">
                  <c:v>-18267</c:v>
                </c:pt>
                <c:pt idx="51">
                  <c:v>-17548.499999999996</c:v>
                </c:pt>
                <c:pt idx="52">
                  <c:v>-16828.5</c:v>
                </c:pt>
                <c:pt idx="53">
                  <c:v>-16110</c:v>
                </c:pt>
                <c:pt idx="54">
                  <c:v>-15391.5</c:v>
                </c:pt>
                <c:pt idx="55">
                  <c:v>-14672.999999999996</c:v>
                </c:pt>
                <c:pt idx="56">
                  <c:v>-13953.000000000004</c:v>
                </c:pt>
                <c:pt idx="57">
                  <c:v>-13234.5</c:v>
                </c:pt>
                <c:pt idx="58">
                  <c:v>-12515.999999999996</c:v>
                </c:pt>
                <c:pt idx="59">
                  <c:v>-11796.000000000004</c:v>
                </c:pt>
                <c:pt idx="60">
                  <c:v>-11077.500000000002</c:v>
                </c:pt>
                <c:pt idx="61">
                  <c:v>-10358.999999999998</c:v>
                </c:pt>
                <c:pt idx="62">
                  <c:v>-9640.5000000000036</c:v>
                </c:pt>
                <c:pt idx="63">
                  <c:v>-8920.5</c:v>
                </c:pt>
                <c:pt idx="64">
                  <c:v>-8202</c:v>
                </c:pt>
                <c:pt idx="65">
                  <c:v>-7483.5000000000045</c:v>
                </c:pt>
                <c:pt idx="66">
                  <c:v>-6765.0000000000009</c:v>
                </c:pt>
                <c:pt idx="67">
                  <c:v>-6044.9999999999991</c:v>
                </c:pt>
                <c:pt idx="68">
                  <c:v>-5326.4999999999964</c:v>
                </c:pt>
                <c:pt idx="69">
                  <c:v>-4608.0000000000018</c:v>
                </c:pt>
                <c:pt idx="70">
                  <c:v>-3888</c:v>
                </c:pt>
                <c:pt idx="71">
                  <c:v>-3169.4999999999968</c:v>
                </c:pt>
                <c:pt idx="72">
                  <c:v>-2451.0000000000023</c:v>
                </c:pt>
                <c:pt idx="73">
                  <c:v>-1732.4999999999993</c:v>
                </c:pt>
                <c:pt idx="74">
                  <c:v>-1012.4999999999977</c:v>
                </c:pt>
                <c:pt idx="75">
                  <c:v>-294.00000000000318</c:v>
                </c:pt>
                <c:pt idx="76">
                  <c:v>424.5</c:v>
                </c:pt>
                <c:pt idx="77">
                  <c:v>1144.5000000000018</c:v>
                </c:pt>
                <c:pt idx="78">
                  <c:v>1862.9999999999964</c:v>
                </c:pt>
                <c:pt idx="79">
                  <c:v>2581.4999999999991</c:v>
                </c:pt>
                <c:pt idx="80">
                  <c:v>3300.0000000000027</c:v>
                </c:pt>
                <c:pt idx="81">
                  <c:v>4020.0000000000036</c:v>
                </c:pt>
                <c:pt idx="82">
                  <c:v>4738.4999999999982</c:v>
                </c:pt>
                <c:pt idx="83">
                  <c:v>5457.0000000000018</c:v>
                </c:pt>
                <c:pt idx="84">
                  <c:v>5787</c:v>
                </c:pt>
                <c:pt idx="85">
                  <c:v>6437.0000000000055</c:v>
                </c:pt>
                <c:pt idx="86">
                  <c:v>7634.4999999999964</c:v>
                </c:pt>
                <c:pt idx="87">
                  <c:v>8832.0000000000018</c:v>
                </c:pt>
                <c:pt idx="88">
                  <c:v>10029.500000000007</c:v>
                </c:pt>
                <c:pt idx="89">
                  <c:v>11229.499999999995</c:v>
                </c:pt>
                <c:pt idx="90">
                  <c:v>12427</c:v>
                </c:pt>
                <c:pt idx="91">
                  <c:v>13624.500000000005</c:v>
                </c:pt>
                <c:pt idx="92">
                  <c:v>14821.999999999996</c:v>
                </c:pt>
                <c:pt idx="93">
                  <c:v>16022</c:v>
                </c:pt>
                <c:pt idx="94">
                  <c:v>17219.500000000007</c:v>
                </c:pt>
                <c:pt idx="95">
                  <c:v>18287</c:v>
                </c:pt>
                <c:pt idx="96">
                  <c:v>18364.999999999996</c:v>
                </c:pt>
                <c:pt idx="97">
                  <c:v>19085</c:v>
                </c:pt>
                <c:pt idx="98">
                  <c:v>19803.500000000004</c:v>
                </c:pt>
                <c:pt idx="99">
                  <c:v>20521.999999999996</c:v>
                </c:pt>
                <c:pt idx="100">
                  <c:v>21240.5</c:v>
                </c:pt>
                <c:pt idx="101">
                  <c:v>21960.5</c:v>
                </c:pt>
                <c:pt idx="102">
                  <c:v>22678.999999999996</c:v>
                </c:pt>
                <c:pt idx="103">
                  <c:v>23397.5</c:v>
                </c:pt>
                <c:pt idx="104">
                  <c:v>24117.5</c:v>
                </c:pt>
                <c:pt idx="105">
                  <c:v>24836.000000000004</c:v>
                </c:pt>
                <c:pt idx="106">
                  <c:v>25554.5</c:v>
                </c:pt>
                <c:pt idx="107">
                  <c:v>25787</c:v>
                </c:pt>
                <c:pt idx="108">
                  <c:v>25949</c:v>
                </c:pt>
                <c:pt idx="109">
                  <c:v>26189</c:v>
                </c:pt>
                <c:pt idx="110">
                  <c:v>26428.500000000004</c:v>
                </c:pt>
                <c:pt idx="111">
                  <c:v>26668</c:v>
                </c:pt>
                <c:pt idx="112">
                  <c:v>26907.999999999996</c:v>
                </c:pt>
                <c:pt idx="113">
                  <c:v>27147.500000000004</c:v>
                </c:pt>
                <c:pt idx="114">
                  <c:v>27387</c:v>
                </c:pt>
                <c:pt idx="115">
                  <c:v>27626.499999999996</c:v>
                </c:pt>
                <c:pt idx="116">
                  <c:v>27866.5</c:v>
                </c:pt>
                <c:pt idx="117">
                  <c:v>28106</c:v>
                </c:pt>
                <c:pt idx="118">
                  <c:v>28287</c:v>
                </c:pt>
                <c:pt idx="119">
                  <c:v>28462.499999999993</c:v>
                </c:pt>
                <c:pt idx="120">
                  <c:v>29181.000000000007</c:v>
                </c:pt>
                <c:pt idx="121">
                  <c:v>29901</c:v>
                </c:pt>
                <c:pt idx="122">
                  <c:v>30619.499999999993</c:v>
                </c:pt>
                <c:pt idx="123">
                  <c:v>31338.000000000007</c:v>
                </c:pt>
                <c:pt idx="124">
                  <c:v>32058</c:v>
                </c:pt>
                <c:pt idx="125">
                  <c:v>32776.499999999993</c:v>
                </c:pt>
                <c:pt idx="126">
                  <c:v>33495.000000000007</c:v>
                </c:pt>
                <c:pt idx="127">
                  <c:v>34213.5</c:v>
                </c:pt>
                <c:pt idx="128">
                  <c:v>34933.499999999993</c:v>
                </c:pt>
                <c:pt idx="129">
                  <c:v>35652</c:v>
                </c:pt>
                <c:pt idx="130">
                  <c:v>36370.5</c:v>
                </c:pt>
                <c:pt idx="131">
                  <c:v>37090.500000000007</c:v>
                </c:pt>
                <c:pt idx="132">
                  <c:v>37809</c:v>
                </c:pt>
                <c:pt idx="133">
                  <c:v>38527.5</c:v>
                </c:pt>
                <c:pt idx="134">
                  <c:v>39245.999999999993</c:v>
                </c:pt>
                <c:pt idx="135">
                  <c:v>39966</c:v>
                </c:pt>
                <c:pt idx="136">
                  <c:v>40684.5</c:v>
                </c:pt>
                <c:pt idx="137">
                  <c:v>41403.000000000007</c:v>
                </c:pt>
                <c:pt idx="138">
                  <c:v>42123</c:v>
                </c:pt>
                <c:pt idx="139">
                  <c:v>42841.499999999993</c:v>
                </c:pt>
                <c:pt idx="140">
                  <c:v>43560.000000000007</c:v>
                </c:pt>
                <c:pt idx="141">
                  <c:v>44278.5</c:v>
                </c:pt>
                <c:pt idx="142">
                  <c:v>44998.499999999993</c:v>
                </c:pt>
                <c:pt idx="143">
                  <c:v>45717.000000000007</c:v>
                </c:pt>
                <c:pt idx="144">
                  <c:v>46435.5</c:v>
                </c:pt>
                <c:pt idx="145">
                  <c:v>47153.999999999993</c:v>
                </c:pt>
                <c:pt idx="146">
                  <c:v>47874.000000000007</c:v>
                </c:pt>
                <c:pt idx="147">
                  <c:v>48592.5</c:v>
                </c:pt>
                <c:pt idx="148">
                  <c:v>49310.999999999993</c:v>
                </c:pt>
                <c:pt idx="149">
                  <c:v>50031.000000000007</c:v>
                </c:pt>
                <c:pt idx="150">
                  <c:v>50749.5</c:v>
                </c:pt>
                <c:pt idx="151">
                  <c:v>51467.999999999993</c:v>
                </c:pt>
                <c:pt idx="152">
                  <c:v>52186.500000000007</c:v>
                </c:pt>
                <c:pt idx="153">
                  <c:v>52906.5</c:v>
                </c:pt>
                <c:pt idx="154">
                  <c:v>53624.999999999993</c:v>
                </c:pt>
                <c:pt idx="155">
                  <c:v>54343.500000000007</c:v>
                </c:pt>
                <c:pt idx="156">
                  <c:v>55063.5</c:v>
                </c:pt>
                <c:pt idx="157">
                  <c:v>55781.999999999993</c:v>
                </c:pt>
                <c:pt idx="158">
                  <c:v>56500.500000000007</c:v>
                </c:pt>
                <c:pt idx="159">
                  <c:v>57219</c:v>
                </c:pt>
                <c:pt idx="160">
                  <c:v>57938.999999999993</c:v>
                </c:pt>
                <c:pt idx="161">
                  <c:v>58657.500000000007</c:v>
                </c:pt>
                <c:pt idx="162">
                  <c:v>59376</c:v>
                </c:pt>
                <c:pt idx="163">
                  <c:v>60095.999999999993</c:v>
                </c:pt>
                <c:pt idx="164">
                  <c:v>60814.5</c:v>
                </c:pt>
                <c:pt idx="165">
                  <c:v>61533</c:v>
                </c:pt>
                <c:pt idx="166">
                  <c:v>62251.499999999993</c:v>
                </c:pt>
                <c:pt idx="167">
                  <c:v>62971.5</c:v>
                </c:pt>
                <c:pt idx="168">
                  <c:v>63690</c:v>
                </c:pt>
                <c:pt idx="169">
                  <c:v>64408.499999999985</c:v>
                </c:pt>
                <c:pt idx="170">
                  <c:v>65127</c:v>
                </c:pt>
                <c:pt idx="171">
                  <c:v>65847</c:v>
                </c:pt>
                <c:pt idx="172">
                  <c:v>66565.500000000015</c:v>
                </c:pt>
                <c:pt idx="173">
                  <c:v>67284</c:v>
                </c:pt>
                <c:pt idx="174">
                  <c:v>68004</c:v>
                </c:pt>
                <c:pt idx="175">
                  <c:v>68722.500000000015</c:v>
                </c:pt>
                <c:pt idx="176">
                  <c:v>69441</c:v>
                </c:pt>
                <c:pt idx="177">
                  <c:v>70159.5</c:v>
                </c:pt>
                <c:pt idx="178">
                  <c:v>70879.5</c:v>
                </c:pt>
                <c:pt idx="179">
                  <c:v>71598</c:v>
                </c:pt>
                <c:pt idx="180">
                  <c:v>72316.5</c:v>
                </c:pt>
                <c:pt idx="181">
                  <c:v>73036.5</c:v>
                </c:pt>
                <c:pt idx="182">
                  <c:v>73755</c:v>
                </c:pt>
                <c:pt idx="183">
                  <c:v>74473.5</c:v>
                </c:pt>
                <c:pt idx="184">
                  <c:v>75192</c:v>
                </c:pt>
                <c:pt idx="185">
                  <c:v>75912</c:v>
                </c:pt>
                <c:pt idx="186">
                  <c:v>76630.5</c:v>
                </c:pt>
                <c:pt idx="187">
                  <c:v>77349</c:v>
                </c:pt>
                <c:pt idx="188">
                  <c:v>78069</c:v>
                </c:pt>
                <c:pt idx="189">
                  <c:v>78787.5</c:v>
                </c:pt>
                <c:pt idx="190">
                  <c:v>79506</c:v>
                </c:pt>
                <c:pt idx="191">
                  <c:v>80224.5</c:v>
                </c:pt>
                <c:pt idx="192">
                  <c:v>80944.5</c:v>
                </c:pt>
                <c:pt idx="193">
                  <c:v>81663</c:v>
                </c:pt>
                <c:pt idx="194">
                  <c:v>82381.5</c:v>
                </c:pt>
                <c:pt idx="195">
                  <c:v>83100</c:v>
                </c:pt>
                <c:pt idx="196">
                  <c:v>83820</c:v>
                </c:pt>
                <c:pt idx="197">
                  <c:v>84538.5</c:v>
                </c:pt>
                <c:pt idx="198">
                  <c:v>85257</c:v>
                </c:pt>
                <c:pt idx="199">
                  <c:v>85977</c:v>
                </c:pt>
                <c:pt idx="200">
                  <c:v>86695.5</c:v>
                </c:pt>
                <c:pt idx="201">
                  <c:v>87413.999999999985</c:v>
                </c:pt>
                <c:pt idx="202">
                  <c:v>88132.5</c:v>
                </c:pt>
                <c:pt idx="203">
                  <c:v>88852.5</c:v>
                </c:pt>
                <c:pt idx="204">
                  <c:v>89570.999999999985</c:v>
                </c:pt>
                <c:pt idx="205">
                  <c:v>90289.5</c:v>
                </c:pt>
                <c:pt idx="206">
                  <c:v>91009.5</c:v>
                </c:pt>
                <c:pt idx="207">
                  <c:v>91728.000000000015</c:v>
                </c:pt>
                <c:pt idx="208">
                  <c:v>92446.5</c:v>
                </c:pt>
                <c:pt idx="209">
                  <c:v>93165</c:v>
                </c:pt>
                <c:pt idx="210">
                  <c:v>93885.000000000015</c:v>
                </c:pt>
                <c:pt idx="211">
                  <c:v>94603.5</c:v>
                </c:pt>
                <c:pt idx="212">
                  <c:v>95322</c:v>
                </c:pt>
                <c:pt idx="213">
                  <c:v>96042</c:v>
                </c:pt>
                <c:pt idx="214">
                  <c:v>96760.5</c:v>
                </c:pt>
                <c:pt idx="215">
                  <c:v>97479</c:v>
                </c:pt>
                <c:pt idx="216">
                  <c:v>98197.500000000015</c:v>
                </c:pt>
                <c:pt idx="217">
                  <c:v>98917.5</c:v>
                </c:pt>
                <c:pt idx="218">
                  <c:v>99636.000000000015</c:v>
                </c:pt>
                <c:pt idx="219">
                  <c:v>100354.5</c:v>
                </c:pt>
                <c:pt idx="220">
                  <c:v>101073</c:v>
                </c:pt>
                <c:pt idx="221">
                  <c:v>101793</c:v>
                </c:pt>
                <c:pt idx="222">
                  <c:v>102511.49999999999</c:v>
                </c:pt>
                <c:pt idx="223">
                  <c:v>103229.99999999999</c:v>
                </c:pt>
                <c:pt idx="224">
                  <c:v>103950.00000000001</c:v>
                </c:pt>
                <c:pt idx="225">
                  <c:v>104668.5</c:v>
                </c:pt>
                <c:pt idx="226">
                  <c:v>105387</c:v>
                </c:pt>
                <c:pt idx="227">
                  <c:v>106105.5</c:v>
                </c:pt>
                <c:pt idx="228">
                  <c:v>106825.49999999999</c:v>
                </c:pt>
                <c:pt idx="229">
                  <c:v>107544.00000000001</c:v>
                </c:pt>
                <c:pt idx="230">
                  <c:v>108262.50000000001</c:v>
                </c:pt>
                <c:pt idx="231">
                  <c:v>108982.5</c:v>
                </c:pt>
                <c:pt idx="232">
                  <c:v>109701</c:v>
                </c:pt>
                <c:pt idx="233">
                  <c:v>110419.5</c:v>
                </c:pt>
                <c:pt idx="234">
                  <c:v>111137.99999999999</c:v>
                </c:pt>
                <c:pt idx="235">
                  <c:v>111858.00000000001</c:v>
                </c:pt>
                <c:pt idx="236">
                  <c:v>112576.50000000001</c:v>
                </c:pt>
                <c:pt idx="237">
                  <c:v>113295</c:v>
                </c:pt>
                <c:pt idx="238">
                  <c:v>114015</c:v>
                </c:pt>
                <c:pt idx="239">
                  <c:v>114733.49999999999</c:v>
                </c:pt>
                <c:pt idx="240">
                  <c:v>115451.99999999999</c:v>
                </c:pt>
                <c:pt idx="241">
                  <c:v>116170.50000000001</c:v>
                </c:pt>
                <c:pt idx="242">
                  <c:v>116890.50000000001</c:v>
                </c:pt>
                <c:pt idx="243">
                  <c:v>117609</c:v>
                </c:pt>
                <c:pt idx="244">
                  <c:v>118327.5</c:v>
                </c:pt>
                <c:pt idx="245">
                  <c:v>119045.99999999999</c:v>
                </c:pt>
                <c:pt idx="246">
                  <c:v>119765.99999999999</c:v>
                </c:pt>
                <c:pt idx="247">
                  <c:v>120484.50000000001</c:v>
                </c:pt>
                <c:pt idx="248">
                  <c:v>121203.00000000001</c:v>
                </c:pt>
                <c:pt idx="249">
                  <c:v>121923</c:v>
                </c:pt>
                <c:pt idx="250">
                  <c:v>122641.5</c:v>
                </c:pt>
                <c:pt idx="251">
                  <c:v>123359.99999999999</c:v>
                </c:pt>
                <c:pt idx="252">
                  <c:v>124078.49999999999</c:v>
                </c:pt>
                <c:pt idx="253">
                  <c:v>124798.50000000001</c:v>
                </c:pt>
                <c:pt idx="254">
                  <c:v>125517</c:v>
                </c:pt>
                <c:pt idx="255">
                  <c:v>126235.5</c:v>
                </c:pt>
                <c:pt idx="256">
                  <c:v>126955.5</c:v>
                </c:pt>
                <c:pt idx="257">
                  <c:v>127673.99999999997</c:v>
                </c:pt>
                <c:pt idx="258">
                  <c:v>128392.49999999997</c:v>
                </c:pt>
                <c:pt idx="259">
                  <c:v>129111</c:v>
                </c:pt>
                <c:pt idx="260">
                  <c:v>129831</c:v>
                </c:pt>
                <c:pt idx="261">
                  <c:v>130549.5</c:v>
                </c:pt>
                <c:pt idx="262">
                  <c:v>131268</c:v>
                </c:pt>
                <c:pt idx="263">
                  <c:v>131988</c:v>
                </c:pt>
                <c:pt idx="264">
                  <c:v>132706.50000000003</c:v>
                </c:pt>
                <c:pt idx="265">
                  <c:v>133425</c:v>
                </c:pt>
                <c:pt idx="266">
                  <c:v>134143.5</c:v>
                </c:pt>
                <c:pt idx="267">
                  <c:v>134863.5</c:v>
                </c:pt>
                <c:pt idx="268">
                  <c:v>135582</c:v>
                </c:pt>
                <c:pt idx="269">
                  <c:v>136300.5</c:v>
                </c:pt>
                <c:pt idx="270">
                  <c:v>137019.00000000003</c:v>
                </c:pt>
                <c:pt idx="271">
                  <c:v>137739</c:v>
                </c:pt>
                <c:pt idx="272">
                  <c:v>138457.5</c:v>
                </c:pt>
                <c:pt idx="273">
                  <c:v>139176</c:v>
                </c:pt>
                <c:pt idx="274">
                  <c:v>139896</c:v>
                </c:pt>
                <c:pt idx="275">
                  <c:v>140614.5</c:v>
                </c:pt>
                <c:pt idx="276">
                  <c:v>141333.00000000003</c:v>
                </c:pt>
                <c:pt idx="277">
                  <c:v>142051.5</c:v>
                </c:pt>
                <c:pt idx="278">
                  <c:v>142771.5</c:v>
                </c:pt>
                <c:pt idx="279">
                  <c:v>143490</c:v>
                </c:pt>
                <c:pt idx="280">
                  <c:v>144208.5</c:v>
                </c:pt>
                <c:pt idx="281">
                  <c:v>144928.49999999997</c:v>
                </c:pt>
                <c:pt idx="282">
                  <c:v>145647</c:v>
                </c:pt>
                <c:pt idx="283">
                  <c:v>146365.5</c:v>
                </c:pt>
                <c:pt idx="284">
                  <c:v>147084</c:v>
                </c:pt>
                <c:pt idx="285">
                  <c:v>147804</c:v>
                </c:pt>
                <c:pt idx="286">
                  <c:v>148522.5</c:v>
                </c:pt>
                <c:pt idx="287">
                  <c:v>149240.99999999997</c:v>
                </c:pt>
                <c:pt idx="288">
                  <c:v>149961</c:v>
                </c:pt>
                <c:pt idx="289">
                  <c:v>150679.5</c:v>
                </c:pt>
                <c:pt idx="290">
                  <c:v>151398</c:v>
                </c:pt>
                <c:pt idx="291">
                  <c:v>152116.5</c:v>
                </c:pt>
                <c:pt idx="292">
                  <c:v>152836.5</c:v>
                </c:pt>
                <c:pt idx="293">
                  <c:v>153554.99999999997</c:v>
                </c:pt>
                <c:pt idx="294">
                  <c:v>154273.5</c:v>
                </c:pt>
                <c:pt idx="295">
                  <c:v>154992</c:v>
                </c:pt>
                <c:pt idx="296">
                  <c:v>155712</c:v>
                </c:pt>
                <c:pt idx="297">
                  <c:v>156430.5</c:v>
                </c:pt>
                <c:pt idx="298">
                  <c:v>157149</c:v>
                </c:pt>
                <c:pt idx="299">
                  <c:v>157869.00000000003</c:v>
                </c:pt>
                <c:pt idx="300">
                  <c:v>158587.5</c:v>
                </c:pt>
                <c:pt idx="301">
                  <c:v>159306</c:v>
                </c:pt>
                <c:pt idx="302" formatCode="General">
                  <c:v>160024.5</c:v>
                </c:pt>
              </c:numCache>
            </c:numRef>
          </c:yVal>
          <c:smooth val="0"/>
          <c:extLst>
            <c:ext xmlns:c16="http://schemas.microsoft.com/office/drawing/2014/chart" uri="{C3380CC4-5D6E-409C-BE32-E72D297353CC}">
              <c16:uniqueId val="{00000153-AB98-496C-A55C-7B81739F26A0}"/>
            </c:ext>
          </c:extLst>
        </c:ser>
        <c:ser>
          <c:idx val="7"/>
          <c:order val="5"/>
          <c:tx>
            <c:v>SpotLine</c:v>
          </c:tx>
          <c:spPr>
            <a:ln w="19050" cap="rnd">
              <a:solidFill>
                <a:srgbClr val="000000"/>
              </a:solidFill>
              <a:prstDash val="dash"/>
              <a:round/>
            </a:ln>
            <a:effectLst/>
          </c:spPr>
          <c:marker>
            <c:symbol val="none"/>
          </c:marker>
          <c:xVal>
            <c:numLit>
              <c:formatCode>General</c:formatCode>
              <c:ptCount val="2"/>
              <c:pt idx="0">
                <c:v>692.17999267578125</c:v>
              </c:pt>
              <c:pt idx="1">
                <c:v>692.17999267578125</c:v>
              </c:pt>
            </c:numLit>
          </c:xVal>
          <c:yVal>
            <c:numLit>
              <c:formatCode>General</c:formatCode>
              <c:ptCount val="2"/>
              <c:pt idx="0">
                <c:v>-1000000000</c:v>
              </c:pt>
              <c:pt idx="1">
                <c:v>1000000000</c:v>
              </c:pt>
            </c:numLit>
          </c:yVal>
          <c:smooth val="0"/>
          <c:extLst>
            <c:ext xmlns:c16="http://schemas.microsoft.com/office/drawing/2014/chart" uri="{C3380CC4-5D6E-409C-BE32-E72D297353CC}">
              <c16:uniqueId val="{00000007-26C8-414B-994D-A0023A215CF4}"/>
            </c:ext>
          </c:extLst>
        </c:ser>
        <c:ser>
          <c:idx val="8"/>
          <c:order val="6"/>
          <c:tx>
            <c:v>SpotLabel</c:v>
          </c:tx>
          <c:spPr>
            <a:ln w="25400" cap="rnd">
              <a:noFill/>
              <a:round/>
            </a:ln>
            <a:effectLst/>
          </c:spPr>
          <c:marker>
            <c:symbol val="none"/>
          </c:marker>
          <c:dLbls>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r>
                      <a:rPr lang="en-US"/>
                      <a:t>Spot $692.18</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6C8-414B-994D-A0023A215C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1"/>
              <c:pt idx="0">
                <c:v>692.17999267578125</c:v>
              </c:pt>
            </c:numLit>
          </c:xVal>
          <c:yVal>
            <c:numLit>
              <c:formatCode>General</c:formatCode>
              <c:ptCount val="1"/>
              <c:pt idx="0">
                <c:v>40000</c:v>
              </c:pt>
            </c:numLit>
          </c:yVal>
          <c:smooth val="0"/>
          <c:extLst>
            <c:ext xmlns:c16="http://schemas.microsoft.com/office/drawing/2014/chart" uri="{C3380CC4-5D6E-409C-BE32-E72D297353CC}">
              <c16:uniqueId val="{00000008-26C8-414B-994D-A0023A215CF4}"/>
            </c:ext>
          </c:extLst>
        </c:ser>
        <c:ser>
          <c:idx val="1"/>
          <c:order val="3"/>
          <c:tx>
            <c:v>SpotLine</c:v>
          </c:tx>
          <c:spPr>
            <a:ln w="19050" cap="rnd">
              <a:solidFill>
                <a:srgbClr val="000000"/>
              </a:solidFill>
              <a:prstDash val="dash"/>
              <a:round/>
            </a:ln>
            <a:effectLst/>
          </c:spPr>
          <c:marker>
            <c:symbol val="none"/>
          </c:marker>
          <c:xVal>
            <c:numLit>
              <c:formatCode>General</c:formatCode>
              <c:ptCount val="2"/>
              <c:pt idx="0">
                <c:v>479.28</c:v>
              </c:pt>
              <c:pt idx="1">
                <c:v>479.28</c:v>
              </c:pt>
            </c:numLit>
          </c:xVal>
          <c:yVal>
            <c:numLit>
              <c:formatCode>General</c:formatCode>
              <c:ptCount val="2"/>
              <c:pt idx="0">
                <c:v>-1000000000</c:v>
              </c:pt>
              <c:pt idx="1">
                <c:v>1000000000</c:v>
              </c:pt>
            </c:numLit>
          </c:yVal>
          <c:smooth val="0"/>
          <c:extLst>
            <c:ext xmlns:c16="http://schemas.microsoft.com/office/drawing/2014/chart" uri="{C3380CC4-5D6E-409C-BE32-E72D297353CC}">
              <c16:uniqueId val="{00000706-AB98-496C-A55C-7B81739F26A0}"/>
            </c:ext>
          </c:extLst>
        </c:ser>
        <c:ser>
          <c:idx val="4"/>
          <c:order val="4"/>
          <c:tx>
            <c:v>SpotLabel</c:v>
          </c:tx>
          <c:spPr>
            <a:ln w="25400" cap="rnd">
              <a:noFill/>
              <a:round/>
            </a:ln>
            <a:effectLst/>
          </c:spPr>
          <c:marker>
            <c:symbol val="none"/>
          </c:marker>
          <c:dLbls>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r>
                      <a:rPr lang="en-US"/>
                      <a:t>Spot $479.28</a:t>
                    </a:r>
                  </a:p>
                </c:rich>
              </c:tx>
              <c:numFmt formatCode="General" sourceLinked="0"/>
              <c:spPr>
                <a:solidFill>
                  <a:srgbClr val="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708-AB98-496C-A55C-7B81739F26A0}"/>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1"/>
              <c:pt idx="0">
                <c:v>479.28</c:v>
              </c:pt>
            </c:numLit>
          </c:xVal>
          <c:yVal>
            <c:numLit>
              <c:formatCode>General</c:formatCode>
              <c:ptCount val="1"/>
              <c:pt idx="0">
                <c:v>50000</c:v>
              </c:pt>
            </c:numLit>
          </c:yVal>
          <c:smooth val="0"/>
          <c:extLst>
            <c:ext xmlns:c16="http://schemas.microsoft.com/office/drawing/2014/chart" uri="{C3380CC4-5D6E-409C-BE32-E72D297353CC}">
              <c16:uniqueId val="{00000707-AB98-496C-A55C-7B81739F26A0}"/>
            </c:ext>
          </c:extLst>
        </c:ser>
        <c:ser>
          <c:idx val="5"/>
          <c:order val="7"/>
          <c:tx>
            <c:v>KeyPoints_Opt</c:v>
          </c:tx>
          <c:spPr>
            <a:ln w="25400" cap="rnd">
              <a:noFill/>
              <a:round/>
            </a:ln>
            <a:effectLst/>
          </c:spPr>
          <c:marker>
            <c:symbol val="circle"/>
            <c:size val="6"/>
            <c:spPr>
              <a:solidFill>
                <a:srgbClr val="FF0000"/>
              </a:solidFill>
              <a:ln w="9525">
                <a:solidFill>
                  <a:srgbClr val="FFFFFF"/>
                </a:solidFill>
                <a:prstDash val="solid"/>
              </a:ln>
              <a:effectLst/>
            </c:spPr>
          </c:marker>
          <c:dLbls>
            <c:dLbl>
              <c:idx val="0"/>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B/E 1 $432.13</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0-F9B1-4EAE-9AB2-9237E3E2FA6D}"/>
                </c:ext>
              </c:extLst>
            </c:dLbl>
            <c:dLbl>
              <c:idx val="1"/>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B/E 2 $517.87</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1-F9B1-4EAE-9AB2-9237E3E2FA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432.13</c:v>
              </c:pt>
              <c:pt idx="1">
                <c:v>517.87</c:v>
              </c:pt>
            </c:numLit>
          </c:xVal>
          <c:yVal>
            <c:numLit>
              <c:formatCode>General</c:formatCode>
              <c:ptCount val="2"/>
              <c:pt idx="0">
                <c:v>-4.6718184876226587E-13</c:v>
              </c:pt>
              <c:pt idx="1">
                <c:v>-4.6718184876226587E-13</c:v>
              </c:pt>
            </c:numLit>
          </c:yVal>
          <c:smooth val="0"/>
          <c:extLst>
            <c:ext xmlns:c16="http://schemas.microsoft.com/office/drawing/2014/chart" uri="{C3380CC4-5D6E-409C-BE32-E72D297353CC}">
              <c16:uniqueId val="{0000010F-F9B1-4EAE-9AB2-9237E3E2FA6D}"/>
            </c:ext>
          </c:extLst>
        </c:ser>
        <c:ser>
          <c:idx val="6"/>
          <c:order val="8"/>
          <c:tx>
            <c:v>KeyPoints_Comb</c:v>
          </c:tx>
          <c:spPr>
            <a:ln w="25400" cap="rnd">
              <a:noFill/>
              <a:round/>
            </a:ln>
            <a:effectLst/>
          </c:spPr>
          <c:marker>
            <c:symbol val="circle"/>
            <c:size val="6"/>
            <c:spPr>
              <a:solidFill>
                <a:srgbClr val="7030A0"/>
              </a:solidFill>
              <a:ln w="9525">
                <a:solidFill>
                  <a:srgbClr val="FFFFFF"/>
                </a:solidFill>
                <a:prstDash val="solid"/>
              </a:ln>
              <a:effectLst/>
            </c:spPr>
          </c:marker>
          <c:dLbls>
            <c:dLbl>
              <c:idx val="0"/>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Strike 1 $400</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3-F9B1-4EAE-9AB2-9237E3E2FA6D}"/>
                </c:ext>
              </c:extLst>
            </c:dLbl>
            <c:dLbl>
              <c:idx val="1"/>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Strike 2 $450</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4-F9B1-4EAE-9AB2-9237E3E2FA6D}"/>
                </c:ext>
              </c:extLst>
            </c:dLbl>
            <c:dLbl>
              <c:idx val="2"/>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Strike 3 $500</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5-F9B1-4EAE-9AB2-9237E3E2FA6D}"/>
                </c:ext>
              </c:extLst>
            </c:dLbl>
            <c:dLbl>
              <c:idx val="3"/>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Strike 4 $550</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6-F9B1-4EAE-9AB2-9237E3E2FA6D}"/>
                </c:ext>
              </c:extLst>
            </c:dLbl>
            <c:dLbl>
              <c:idx val="4"/>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B/E 1 $361.42</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7-F9B1-4EAE-9AB2-9237E3E2FA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1"/>
            <c:plus>
              <c:numLit>
                <c:formatCode>General</c:formatCode>
                <c:ptCount val="5"/>
                <c:pt idx="0">
                  <c:v>0</c:v>
                </c:pt>
                <c:pt idx="1">
                  <c:v>0</c:v>
                </c:pt>
                <c:pt idx="2">
                  <c:v>0</c:v>
                </c:pt>
                <c:pt idx="3">
                  <c:v>0</c:v>
                </c:pt>
                <c:pt idx="4">
                  <c:v>0</c:v>
                </c:pt>
              </c:numLit>
            </c:plus>
            <c:minus>
              <c:numLit>
                <c:formatCode>General</c:formatCode>
                <c:ptCount val="5"/>
                <c:pt idx="0">
                  <c:v>5787</c:v>
                </c:pt>
                <c:pt idx="1">
                  <c:v>18287</c:v>
                </c:pt>
                <c:pt idx="2">
                  <c:v>25787</c:v>
                </c:pt>
                <c:pt idx="3">
                  <c:v>28287</c:v>
                </c:pt>
                <c:pt idx="4">
                  <c:v>2.2737367544323206E-12</c:v>
                </c:pt>
              </c:numLit>
            </c:minus>
            <c:spPr>
              <a:noFill/>
              <a:ln w="3175" cap="flat" cmpd="sng" algn="ctr">
                <a:solidFill>
                  <a:srgbClr val="646464"/>
                </a:solidFill>
                <a:prstDash val="lgDash"/>
                <a:round/>
              </a:ln>
              <a:effectLst/>
            </c:spPr>
          </c:errBars>
          <c:xVal>
            <c:numLit>
              <c:formatCode>General</c:formatCode>
              <c:ptCount val="5"/>
              <c:pt idx="0">
                <c:v>400</c:v>
              </c:pt>
              <c:pt idx="1">
                <c:v>450</c:v>
              </c:pt>
              <c:pt idx="2">
                <c:v>500</c:v>
              </c:pt>
              <c:pt idx="3">
                <c:v>550</c:v>
              </c:pt>
              <c:pt idx="4">
                <c:v>361.42</c:v>
              </c:pt>
            </c:numLit>
          </c:xVal>
          <c:yVal>
            <c:numLit>
              <c:formatCode>General</c:formatCode>
              <c:ptCount val="5"/>
              <c:pt idx="0">
                <c:v>5787</c:v>
              </c:pt>
              <c:pt idx="1">
                <c:v>18287</c:v>
              </c:pt>
              <c:pt idx="2">
                <c:v>25787</c:v>
              </c:pt>
              <c:pt idx="3">
                <c:v>28287</c:v>
              </c:pt>
              <c:pt idx="4">
                <c:v>2.2737367544323206E-12</c:v>
              </c:pt>
            </c:numLit>
          </c:yVal>
          <c:smooth val="0"/>
          <c:extLst>
            <c:ext xmlns:c16="http://schemas.microsoft.com/office/drawing/2014/chart" uri="{C3380CC4-5D6E-409C-BE32-E72D297353CC}">
              <c16:uniqueId val="{00000112-F9B1-4EAE-9AB2-9237E3E2FA6D}"/>
            </c:ext>
          </c:extLst>
        </c:ser>
        <c:dLbls>
          <c:showLegendKey val="0"/>
          <c:showVal val="0"/>
          <c:showCatName val="0"/>
          <c:showSerName val="0"/>
          <c:showPercent val="0"/>
          <c:showBubbleSize val="0"/>
        </c:dLbls>
        <c:axId val="607959936"/>
        <c:axId val="607960416"/>
      </c:scatterChart>
      <c:valAx>
        <c:axId val="607959936"/>
        <c:scaling>
          <c:orientation val="minMax"/>
          <c:max val="600"/>
          <c:min val="300"/>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Stock Price</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07960416"/>
        <c:crosses val="autoZero"/>
        <c:crossBetween val="midCat"/>
        <c:majorUnit val="50"/>
      </c:valAx>
      <c:valAx>
        <c:axId val="607960416"/>
        <c:scaling>
          <c:orientation val="minMax"/>
          <c:max val="50000"/>
          <c:min val="-2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PnL</a:t>
                </a:r>
              </a:p>
            </c:rich>
          </c:tx>
          <c:layout>
            <c:manualLayout>
              <c:xMode val="edge"/>
              <c:yMode val="edge"/>
              <c:x val="4.0551500405515001E-3"/>
              <c:y val="0.4919623697731352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07959936"/>
        <c:crosses val="autoZero"/>
        <c:crossBetween val="midCat"/>
        <c:majorUnit val="1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mj-lt"/>
                <a:ea typeface="+mn-ea"/>
                <a:cs typeface="+mn-cs"/>
              </a:defRPr>
            </a:pPr>
            <a:r>
              <a:rPr lang="en-US" sz="1200" b="0">
                <a:solidFill>
                  <a:sysClr val="windowText" lastClr="000000"/>
                </a:solidFill>
                <a:latin typeface="+mj-lt"/>
              </a:rPr>
              <a:t>Iron Condor on MSFT</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mj-lt"/>
              <a:ea typeface="+mn-ea"/>
              <a:cs typeface="+mn-cs"/>
            </a:defRPr>
          </a:pPr>
          <a:endParaRPr lang="en-US"/>
        </a:p>
      </c:txPr>
    </c:title>
    <c:autoTitleDeleted val="0"/>
    <c:plotArea>
      <c:layout>
        <c:manualLayout>
          <c:layoutTarget val="inner"/>
          <c:xMode val="edge"/>
          <c:yMode val="edge"/>
          <c:x val="0.10524982278675021"/>
          <c:y val="8.5118013929005129E-2"/>
          <c:w val="0.86871611395290915"/>
          <c:h val="0.82438533525789515"/>
        </c:manualLayout>
      </c:layout>
      <c:scatterChart>
        <c:scatterStyle val="lineMarker"/>
        <c:varyColors val="0"/>
        <c:ser>
          <c:idx val="0"/>
          <c:order val="0"/>
          <c:tx>
            <c:v>Options</c:v>
          </c:tx>
          <c:spPr>
            <a:ln w="25400" cap="rnd">
              <a:solidFill>
                <a:srgbClr val="0070C0"/>
              </a:solidFill>
              <a:round/>
            </a:ln>
            <a:effectLst/>
          </c:spPr>
          <c:marker>
            <c:symbol val="none"/>
          </c:marker>
          <c:xVal>
            <c:numRef>
              <c:f>Calc!$A$2:$A$304</c:f>
              <c:numCache>
                <c:formatCode>_(* #,##0.00_);_(* \(#,##0.00\);_(* "-"??_);_(@_)</c:formatCode>
                <c:ptCount val="303"/>
                <c:pt idx="0">
                  <c:v>0</c:v>
                </c:pt>
                <c:pt idx="1">
                  <c:v>4.79</c:v>
                </c:pt>
                <c:pt idx="2">
                  <c:v>9.59</c:v>
                </c:pt>
                <c:pt idx="3">
                  <c:v>14.38</c:v>
                </c:pt>
                <c:pt idx="4">
                  <c:v>19.170000000000002</c:v>
                </c:pt>
                <c:pt idx="5">
                  <c:v>23.96</c:v>
                </c:pt>
                <c:pt idx="6">
                  <c:v>28.76</c:v>
                </c:pt>
                <c:pt idx="7">
                  <c:v>33.549999999999997</c:v>
                </c:pt>
                <c:pt idx="8">
                  <c:v>38.340000000000003</c:v>
                </c:pt>
                <c:pt idx="9">
                  <c:v>43.14</c:v>
                </c:pt>
                <c:pt idx="10">
                  <c:v>47.93</c:v>
                </c:pt>
                <c:pt idx="11">
                  <c:v>52.72</c:v>
                </c:pt>
                <c:pt idx="12">
                  <c:v>57.51</c:v>
                </c:pt>
                <c:pt idx="13">
                  <c:v>62.31</c:v>
                </c:pt>
                <c:pt idx="14">
                  <c:v>67.099999999999994</c:v>
                </c:pt>
                <c:pt idx="15">
                  <c:v>71.89</c:v>
                </c:pt>
                <c:pt idx="16">
                  <c:v>76.680000000000007</c:v>
                </c:pt>
                <c:pt idx="17">
                  <c:v>81.48</c:v>
                </c:pt>
                <c:pt idx="18">
                  <c:v>86.27</c:v>
                </c:pt>
                <c:pt idx="19">
                  <c:v>91.06</c:v>
                </c:pt>
                <c:pt idx="20">
                  <c:v>95.86</c:v>
                </c:pt>
                <c:pt idx="21">
                  <c:v>100.65</c:v>
                </c:pt>
                <c:pt idx="22">
                  <c:v>105.44</c:v>
                </c:pt>
                <c:pt idx="23">
                  <c:v>110.23</c:v>
                </c:pt>
                <c:pt idx="24">
                  <c:v>115.03</c:v>
                </c:pt>
                <c:pt idx="25">
                  <c:v>119.82</c:v>
                </c:pt>
                <c:pt idx="26">
                  <c:v>124.61</c:v>
                </c:pt>
                <c:pt idx="27">
                  <c:v>129.41</c:v>
                </c:pt>
                <c:pt idx="28">
                  <c:v>134.19999999999999</c:v>
                </c:pt>
                <c:pt idx="29">
                  <c:v>138.99</c:v>
                </c:pt>
                <c:pt idx="30">
                  <c:v>143.78</c:v>
                </c:pt>
                <c:pt idx="31">
                  <c:v>148.58000000000001</c:v>
                </c:pt>
                <c:pt idx="32">
                  <c:v>153.37</c:v>
                </c:pt>
                <c:pt idx="33">
                  <c:v>158.16</c:v>
                </c:pt>
                <c:pt idx="34">
                  <c:v>162.96</c:v>
                </c:pt>
                <c:pt idx="35">
                  <c:v>167.75</c:v>
                </c:pt>
                <c:pt idx="36">
                  <c:v>172.54</c:v>
                </c:pt>
                <c:pt idx="37">
                  <c:v>177.33</c:v>
                </c:pt>
                <c:pt idx="38">
                  <c:v>182.13</c:v>
                </c:pt>
                <c:pt idx="39">
                  <c:v>186.92</c:v>
                </c:pt>
                <c:pt idx="40">
                  <c:v>191.71</c:v>
                </c:pt>
                <c:pt idx="41">
                  <c:v>196.5</c:v>
                </c:pt>
                <c:pt idx="42">
                  <c:v>201.3</c:v>
                </c:pt>
                <c:pt idx="43">
                  <c:v>206.09</c:v>
                </c:pt>
                <c:pt idx="44">
                  <c:v>210.88</c:v>
                </c:pt>
                <c:pt idx="45">
                  <c:v>215.68</c:v>
                </c:pt>
                <c:pt idx="46">
                  <c:v>220.47</c:v>
                </c:pt>
                <c:pt idx="47">
                  <c:v>225.26</c:v>
                </c:pt>
                <c:pt idx="48">
                  <c:v>230.05</c:v>
                </c:pt>
                <c:pt idx="49">
                  <c:v>234.85</c:v>
                </c:pt>
                <c:pt idx="50">
                  <c:v>239.64</c:v>
                </c:pt>
                <c:pt idx="51">
                  <c:v>244.43</c:v>
                </c:pt>
                <c:pt idx="52">
                  <c:v>249.23</c:v>
                </c:pt>
                <c:pt idx="53">
                  <c:v>254.02</c:v>
                </c:pt>
                <c:pt idx="54">
                  <c:v>258.81</c:v>
                </c:pt>
                <c:pt idx="55">
                  <c:v>263.60000000000002</c:v>
                </c:pt>
                <c:pt idx="56">
                  <c:v>268.39999999999998</c:v>
                </c:pt>
                <c:pt idx="57">
                  <c:v>273.19</c:v>
                </c:pt>
                <c:pt idx="58">
                  <c:v>277.98</c:v>
                </c:pt>
                <c:pt idx="59">
                  <c:v>282.77999999999997</c:v>
                </c:pt>
                <c:pt idx="60">
                  <c:v>287.57</c:v>
                </c:pt>
                <c:pt idx="61">
                  <c:v>292.36</c:v>
                </c:pt>
                <c:pt idx="62">
                  <c:v>297.14999999999998</c:v>
                </c:pt>
                <c:pt idx="63">
                  <c:v>301.95</c:v>
                </c:pt>
                <c:pt idx="64">
                  <c:v>306.74</c:v>
                </c:pt>
                <c:pt idx="65">
                  <c:v>311.52999999999997</c:v>
                </c:pt>
                <c:pt idx="66">
                  <c:v>316.32</c:v>
                </c:pt>
                <c:pt idx="67">
                  <c:v>321.12</c:v>
                </c:pt>
                <c:pt idx="68">
                  <c:v>325.91000000000003</c:v>
                </c:pt>
                <c:pt idx="69">
                  <c:v>330.7</c:v>
                </c:pt>
                <c:pt idx="70">
                  <c:v>335.5</c:v>
                </c:pt>
                <c:pt idx="71">
                  <c:v>340.29</c:v>
                </c:pt>
                <c:pt idx="72">
                  <c:v>345.08</c:v>
                </c:pt>
                <c:pt idx="73">
                  <c:v>349.87</c:v>
                </c:pt>
                <c:pt idx="74">
                  <c:v>354.67</c:v>
                </c:pt>
                <c:pt idx="75">
                  <c:v>359.46</c:v>
                </c:pt>
                <c:pt idx="76">
                  <c:v>364.25</c:v>
                </c:pt>
                <c:pt idx="77">
                  <c:v>369.05</c:v>
                </c:pt>
                <c:pt idx="78">
                  <c:v>373.84</c:v>
                </c:pt>
                <c:pt idx="79">
                  <c:v>378.63</c:v>
                </c:pt>
                <c:pt idx="80">
                  <c:v>383.42</c:v>
                </c:pt>
                <c:pt idx="81">
                  <c:v>388.22</c:v>
                </c:pt>
                <c:pt idx="82">
                  <c:v>393.01</c:v>
                </c:pt>
                <c:pt idx="83">
                  <c:v>397.8</c:v>
                </c:pt>
                <c:pt idx="84">
                  <c:v>400</c:v>
                </c:pt>
                <c:pt idx="85">
                  <c:v>402.6</c:v>
                </c:pt>
                <c:pt idx="86">
                  <c:v>407.39</c:v>
                </c:pt>
                <c:pt idx="87">
                  <c:v>412.18</c:v>
                </c:pt>
                <c:pt idx="88">
                  <c:v>416.97</c:v>
                </c:pt>
                <c:pt idx="89">
                  <c:v>421.77</c:v>
                </c:pt>
                <c:pt idx="90">
                  <c:v>426.56</c:v>
                </c:pt>
                <c:pt idx="91">
                  <c:v>431.35</c:v>
                </c:pt>
                <c:pt idx="92">
                  <c:v>436.14</c:v>
                </c:pt>
                <c:pt idx="93">
                  <c:v>440.94</c:v>
                </c:pt>
                <c:pt idx="94">
                  <c:v>445.73</c:v>
                </c:pt>
                <c:pt idx="95">
                  <c:v>450</c:v>
                </c:pt>
                <c:pt idx="96">
                  <c:v>450.52</c:v>
                </c:pt>
                <c:pt idx="97">
                  <c:v>455.32</c:v>
                </c:pt>
                <c:pt idx="98">
                  <c:v>460.11</c:v>
                </c:pt>
                <c:pt idx="99">
                  <c:v>464.9</c:v>
                </c:pt>
                <c:pt idx="100">
                  <c:v>469.69</c:v>
                </c:pt>
                <c:pt idx="101">
                  <c:v>474.49</c:v>
                </c:pt>
                <c:pt idx="102">
                  <c:v>479.28</c:v>
                </c:pt>
                <c:pt idx="103">
                  <c:v>484.07</c:v>
                </c:pt>
                <c:pt idx="104">
                  <c:v>488.87</c:v>
                </c:pt>
                <c:pt idx="105">
                  <c:v>493.66</c:v>
                </c:pt>
                <c:pt idx="106">
                  <c:v>498.45</c:v>
                </c:pt>
                <c:pt idx="107">
                  <c:v>500</c:v>
                </c:pt>
                <c:pt idx="108">
                  <c:v>503.24</c:v>
                </c:pt>
                <c:pt idx="109">
                  <c:v>508.04</c:v>
                </c:pt>
                <c:pt idx="110">
                  <c:v>512.83000000000004</c:v>
                </c:pt>
                <c:pt idx="111">
                  <c:v>517.62</c:v>
                </c:pt>
                <c:pt idx="112">
                  <c:v>522.41999999999996</c:v>
                </c:pt>
                <c:pt idx="113">
                  <c:v>527.21</c:v>
                </c:pt>
                <c:pt idx="114">
                  <c:v>532</c:v>
                </c:pt>
                <c:pt idx="115">
                  <c:v>536.79</c:v>
                </c:pt>
                <c:pt idx="116">
                  <c:v>541.59</c:v>
                </c:pt>
                <c:pt idx="117">
                  <c:v>546.38</c:v>
                </c:pt>
                <c:pt idx="118">
                  <c:v>550</c:v>
                </c:pt>
                <c:pt idx="119">
                  <c:v>551.16999999999996</c:v>
                </c:pt>
                <c:pt idx="120">
                  <c:v>555.96</c:v>
                </c:pt>
                <c:pt idx="121">
                  <c:v>560.76</c:v>
                </c:pt>
                <c:pt idx="122">
                  <c:v>565.54999999999995</c:v>
                </c:pt>
                <c:pt idx="123">
                  <c:v>570.34</c:v>
                </c:pt>
                <c:pt idx="124">
                  <c:v>575.14</c:v>
                </c:pt>
                <c:pt idx="125">
                  <c:v>579.92999999999995</c:v>
                </c:pt>
                <c:pt idx="126">
                  <c:v>584.72</c:v>
                </c:pt>
                <c:pt idx="127">
                  <c:v>589.51</c:v>
                </c:pt>
                <c:pt idx="128">
                  <c:v>594.30999999999995</c:v>
                </c:pt>
                <c:pt idx="129">
                  <c:v>599.1</c:v>
                </c:pt>
                <c:pt idx="130">
                  <c:v>603.89</c:v>
                </c:pt>
                <c:pt idx="131">
                  <c:v>608.69000000000005</c:v>
                </c:pt>
                <c:pt idx="132">
                  <c:v>613.48</c:v>
                </c:pt>
                <c:pt idx="133">
                  <c:v>618.27</c:v>
                </c:pt>
                <c:pt idx="134">
                  <c:v>623.05999999999995</c:v>
                </c:pt>
                <c:pt idx="135">
                  <c:v>627.86</c:v>
                </c:pt>
                <c:pt idx="136">
                  <c:v>632.65</c:v>
                </c:pt>
                <c:pt idx="137">
                  <c:v>637.44000000000005</c:v>
                </c:pt>
                <c:pt idx="138">
                  <c:v>642.24</c:v>
                </c:pt>
                <c:pt idx="139">
                  <c:v>647.03</c:v>
                </c:pt>
                <c:pt idx="140">
                  <c:v>651.82000000000005</c:v>
                </c:pt>
                <c:pt idx="141">
                  <c:v>656.61</c:v>
                </c:pt>
                <c:pt idx="142">
                  <c:v>661.41</c:v>
                </c:pt>
                <c:pt idx="143">
                  <c:v>666.2</c:v>
                </c:pt>
                <c:pt idx="144">
                  <c:v>670.99</c:v>
                </c:pt>
                <c:pt idx="145">
                  <c:v>675.78</c:v>
                </c:pt>
                <c:pt idx="146">
                  <c:v>680.58</c:v>
                </c:pt>
                <c:pt idx="147">
                  <c:v>685.37</c:v>
                </c:pt>
                <c:pt idx="148">
                  <c:v>690.16</c:v>
                </c:pt>
                <c:pt idx="149">
                  <c:v>694.96</c:v>
                </c:pt>
                <c:pt idx="150">
                  <c:v>699.75</c:v>
                </c:pt>
                <c:pt idx="151">
                  <c:v>704.54</c:v>
                </c:pt>
                <c:pt idx="152">
                  <c:v>709.33</c:v>
                </c:pt>
                <c:pt idx="153">
                  <c:v>714.13</c:v>
                </c:pt>
                <c:pt idx="154">
                  <c:v>718.92</c:v>
                </c:pt>
                <c:pt idx="155">
                  <c:v>723.71</c:v>
                </c:pt>
                <c:pt idx="156">
                  <c:v>728.51</c:v>
                </c:pt>
                <c:pt idx="157">
                  <c:v>733.3</c:v>
                </c:pt>
                <c:pt idx="158">
                  <c:v>738.09</c:v>
                </c:pt>
                <c:pt idx="159">
                  <c:v>742.88</c:v>
                </c:pt>
                <c:pt idx="160">
                  <c:v>747.68</c:v>
                </c:pt>
                <c:pt idx="161">
                  <c:v>752.47</c:v>
                </c:pt>
                <c:pt idx="162">
                  <c:v>757.26</c:v>
                </c:pt>
                <c:pt idx="163">
                  <c:v>762.06</c:v>
                </c:pt>
                <c:pt idx="164">
                  <c:v>766.85</c:v>
                </c:pt>
                <c:pt idx="165">
                  <c:v>771.64</c:v>
                </c:pt>
                <c:pt idx="166">
                  <c:v>776.43</c:v>
                </c:pt>
                <c:pt idx="167">
                  <c:v>781.23</c:v>
                </c:pt>
                <c:pt idx="168">
                  <c:v>786.02</c:v>
                </c:pt>
                <c:pt idx="169">
                  <c:v>790.81</c:v>
                </c:pt>
                <c:pt idx="170">
                  <c:v>795.6</c:v>
                </c:pt>
                <c:pt idx="171">
                  <c:v>800.4</c:v>
                </c:pt>
                <c:pt idx="172">
                  <c:v>805.19</c:v>
                </c:pt>
                <c:pt idx="173">
                  <c:v>809.98</c:v>
                </c:pt>
                <c:pt idx="174">
                  <c:v>814.78</c:v>
                </c:pt>
                <c:pt idx="175">
                  <c:v>819.57</c:v>
                </c:pt>
                <c:pt idx="176">
                  <c:v>824.36</c:v>
                </c:pt>
                <c:pt idx="177">
                  <c:v>829.15</c:v>
                </c:pt>
                <c:pt idx="178">
                  <c:v>833.95</c:v>
                </c:pt>
                <c:pt idx="179">
                  <c:v>838.74</c:v>
                </c:pt>
                <c:pt idx="180">
                  <c:v>843.53</c:v>
                </c:pt>
                <c:pt idx="181">
                  <c:v>848.33</c:v>
                </c:pt>
                <c:pt idx="182">
                  <c:v>853.12</c:v>
                </c:pt>
                <c:pt idx="183">
                  <c:v>857.91</c:v>
                </c:pt>
                <c:pt idx="184">
                  <c:v>862.7</c:v>
                </c:pt>
                <c:pt idx="185">
                  <c:v>867.5</c:v>
                </c:pt>
                <c:pt idx="186">
                  <c:v>872.29</c:v>
                </c:pt>
                <c:pt idx="187">
                  <c:v>877.08</c:v>
                </c:pt>
                <c:pt idx="188">
                  <c:v>881.88</c:v>
                </c:pt>
                <c:pt idx="189">
                  <c:v>886.67</c:v>
                </c:pt>
                <c:pt idx="190">
                  <c:v>891.46</c:v>
                </c:pt>
                <c:pt idx="191">
                  <c:v>896.25</c:v>
                </c:pt>
                <c:pt idx="192">
                  <c:v>901.05</c:v>
                </c:pt>
                <c:pt idx="193">
                  <c:v>905.84</c:v>
                </c:pt>
                <c:pt idx="194">
                  <c:v>910.63</c:v>
                </c:pt>
                <c:pt idx="195">
                  <c:v>915.42</c:v>
                </c:pt>
                <c:pt idx="196">
                  <c:v>920.22</c:v>
                </c:pt>
                <c:pt idx="197">
                  <c:v>925.01</c:v>
                </c:pt>
                <c:pt idx="198">
                  <c:v>929.8</c:v>
                </c:pt>
                <c:pt idx="199">
                  <c:v>934.6</c:v>
                </c:pt>
                <c:pt idx="200">
                  <c:v>939.39</c:v>
                </c:pt>
                <c:pt idx="201">
                  <c:v>944.18</c:v>
                </c:pt>
                <c:pt idx="202">
                  <c:v>948.97</c:v>
                </c:pt>
                <c:pt idx="203">
                  <c:v>953.77</c:v>
                </c:pt>
                <c:pt idx="204">
                  <c:v>958.56</c:v>
                </c:pt>
                <c:pt idx="205">
                  <c:v>963.35</c:v>
                </c:pt>
                <c:pt idx="206">
                  <c:v>968.15</c:v>
                </c:pt>
                <c:pt idx="207">
                  <c:v>972.94</c:v>
                </c:pt>
                <c:pt idx="208">
                  <c:v>977.73</c:v>
                </c:pt>
                <c:pt idx="209">
                  <c:v>982.52</c:v>
                </c:pt>
                <c:pt idx="210">
                  <c:v>987.32</c:v>
                </c:pt>
                <c:pt idx="211">
                  <c:v>992.11</c:v>
                </c:pt>
                <c:pt idx="212">
                  <c:v>996.9</c:v>
                </c:pt>
                <c:pt idx="213">
                  <c:v>1001.7</c:v>
                </c:pt>
                <c:pt idx="214">
                  <c:v>1006.49</c:v>
                </c:pt>
                <c:pt idx="215">
                  <c:v>1011.28</c:v>
                </c:pt>
                <c:pt idx="216">
                  <c:v>1016.07</c:v>
                </c:pt>
                <c:pt idx="217">
                  <c:v>1020.87</c:v>
                </c:pt>
                <c:pt idx="218">
                  <c:v>1025.6600000000001</c:v>
                </c:pt>
                <c:pt idx="219">
                  <c:v>1030.45</c:v>
                </c:pt>
                <c:pt idx="220">
                  <c:v>1035.24</c:v>
                </c:pt>
                <c:pt idx="221">
                  <c:v>1040.04</c:v>
                </c:pt>
                <c:pt idx="222">
                  <c:v>1044.83</c:v>
                </c:pt>
                <c:pt idx="223">
                  <c:v>1049.6199999999999</c:v>
                </c:pt>
                <c:pt idx="224">
                  <c:v>1054.42</c:v>
                </c:pt>
                <c:pt idx="225">
                  <c:v>1059.21</c:v>
                </c:pt>
                <c:pt idx="226">
                  <c:v>1064</c:v>
                </c:pt>
                <c:pt idx="227">
                  <c:v>1068.79</c:v>
                </c:pt>
                <c:pt idx="228">
                  <c:v>1073.5899999999999</c:v>
                </c:pt>
                <c:pt idx="229">
                  <c:v>1078.3800000000001</c:v>
                </c:pt>
                <c:pt idx="230">
                  <c:v>1083.17</c:v>
                </c:pt>
                <c:pt idx="231">
                  <c:v>1087.97</c:v>
                </c:pt>
                <c:pt idx="232">
                  <c:v>1092.76</c:v>
                </c:pt>
                <c:pt idx="233">
                  <c:v>1097.55</c:v>
                </c:pt>
                <c:pt idx="234">
                  <c:v>1102.3399999999999</c:v>
                </c:pt>
                <c:pt idx="235">
                  <c:v>1107.1400000000001</c:v>
                </c:pt>
                <c:pt idx="236">
                  <c:v>1111.93</c:v>
                </c:pt>
                <c:pt idx="237">
                  <c:v>1116.72</c:v>
                </c:pt>
                <c:pt idx="238">
                  <c:v>1121.52</c:v>
                </c:pt>
                <c:pt idx="239">
                  <c:v>1126.31</c:v>
                </c:pt>
                <c:pt idx="240">
                  <c:v>1131.0999999999999</c:v>
                </c:pt>
                <c:pt idx="241">
                  <c:v>1135.8900000000001</c:v>
                </c:pt>
                <c:pt idx="242">
                  <c:v>1140.69</c:v>
                </c:pt>
                <c:pt idx="243">
                  <c:v>1145.48</c:v>
                </c:pt>
                <c:pt idx="244">
                  <c:v>1150.27</c:v>
                </c:pt>
                <c:pt idx="245">
                  <c:v>1155.06</c:v>
                </c:pt>
                <c:pt idx="246">
                  <c:v>1159.8599999999999</c:v>
                </c:pt>
                <c:pt idx="247">
                  <c:v>1164.6500000000001</c:v>
                </c:pt>
                <c:pt idx="248">
                  <c:v>1169.44</c:v>
                </c:pt>
                <c:pt idx="249">
                  <c:v>1174.24</c:v>
                </c:pt>
                <c:pt idx="250">
                  <c:v>1179.03</c:v>
                </c:pt>
                <c:pt idx="251">
                  <c:v>1183.82</c:v>
                </c:pt>
                <c:pt idx="252">
                  <c:v>1188.6099999999999</c:v>
                </c:pt>
                <c:pt idx="253">
                  <c:v>1193.4100000000001</c:v>
                </c:pt>
                <c:pt idx="254">
                  <c:v>1198.2</c:v>
                </c:pt>
                <c:pt idx="255">
                  <c:v>1202.99</c:v>
                </c:pt>
                <c:pt idx="256">
                  <c:v>1207.79</c:v>
                </c:pt>
                <c:pt idx="257">
                  <c:v>1212.58</c:v>
                </c:pt>
                <c:pt idx="258">
                  <c:v>1217.3699999999999</c:v>
                </c:pt>
                <c:pt idx="259">
                  <c:v>1222.1600000000001</c:v>
                </c:pt>
                <c:pt idx="260">
                  <c:v>1226.96</c:v>
                </c:pt>
                <c:pt idx="261">
                  <c:v>1231.75</c:v>
                </c:pt>
                <c:pt idx="262">
                  <c:v>1236.54</c:v>
                </c:pt>
                <c:pt idx="263">
                  <c:v>1241.3399999999999</c:v>
                </c:pt>
                <c:pt idx="264">
                  <c:v>1246.1300000000001</c:v>
                </c:pt>
                <c:pt idx="265">
                  <c:v>1250.92</c:v>
                </c:pt>
                <c:pt idx="266">
                  <c:v>1255.71</c:v>
                </c:pt>
                <c:pt idx="267">
                  <c:v>1260.51</c:v>
                </c:pt>
                <c:pt idx="268">
                  <c:v>1265.3</c:v>
                </c:pt>
                <c:pt idx="269">
                  <c:v>1270.0899999999999</c:v>
                </c:pt>
                <c:pt idx="270">
                  <c:v>1274.8800000000001</c:v>
                </c:pt>
                <c:pt idx="271">
                  <c:v>1279.68</c:v>
                </c:pt>
                <c:pt idx="272">
                  <c:v>1284.47</c:v>
                </c:pt>
                <c:pt idx="273">
                  <c:v>1289.26</c:v>
                </c:pt>
                <c:pt idx="274">
                  <c:v>1294.06</c:v>
                </c:pt>
                <c:pt idx="275">
                  <c:v>1298.8499999999999</c:v>
                </c:pt>
                <c:pt idx="276">
                  <c:v>1303.6400000000001</c:v>
                </c:pt>
                <c:pt idx="277">
                  <c:v>1308.43</c:v>
                </c:pt>
                <c:pt idx="278">
                  <c:v>1313.23</c:v>
                </c:pt>
                <c:pt idx="279">
                  <c:v>1318.02</c:v>
                </c:pt>
                <c:pt idx="280">
                  <c:v>1322.81</c:v>
                </c:pt>
                <c:pt idx="281">
                  <c:v>1327.61</c:v>
                </c:pt>
                <c:pt idx="282">
                  <c:v>1332.4</c:v>
                </c:pt>
                <c:pt idx="283">
                  <c:v>1337.19</c:v>
                </c:pt>
                <c:pt idx="284">
                  <c:v>1341.98</c:v>
                </c:pt>
                <c:pt idx="285">
                  <c:v>1346.78</c:v>
                </c:pt>
                <c:pt idx="286">
                  <c:v>1351.57</c:v>
                </c:pt>
                <c:pt idx="287">
                  <c:v>1356.36</c:v>
                </c:pt>
                <c:pt idx="288">
                  <c:v>1361.16</c:v>
                </c:pt>
                <c:pt idx="289">
                  <c:v>1365.95</c:v>
                </c:pt>
                <c:pt idx="290">
                  <c:v>1370.74</c:v>
                </c:pt>
                <c:pt idx="291">
                  <c:v>1375.53</c:v>
                </c:pt>
                <c:pt idx="292">
                  <c:v>1380.33</c:v>
                </c:pt>
                <c:pt idx="293">
                  <c:v>1385.12</c:v>
                </c:pt>
                <c:pt idx="294">
                  <c:v>1389.91</c:v>
                </c:pt>
                <c:pt idx="295">
                  <c:v>1394.7</c:v>
                </c:pt>
                <c:pt idx="296">
                  <c:v>1399.5</c:v>
                </c:pt>
                <c:pt idx="297">
                  <c:v>1404.29</c:v>
                </c:pt>
                <c:pt idx="298">
                  <c:v>1409.08</c:v>
                </c:pt>
                <c:pt idx="299">
                  <c:v>1413.88</c:v>
                </c:pt>
                <c:pt idx="300">
                  <c:v>1418.67</c:v>
                </c:pt>
                <c:pt idx="301">
                  <c:v>1423.46</c:v>
                </c:pt>
                <c:pt idx="302" formatCode="General">
                  <c:v>1428.25</c:v>
                </c:pt>
              </c:numCache>
            </c:numRef>
          </c:xVal>
          <c:yVal>
            <c:numRef>
              <c:f>Calc!$B$2:$B$304</c:f>
              <c:numCache>
                <c:formatCode>_(* #,##0.00_);_(* \(#,##0.00\);_(* "-"??_);_(@_)</c:formatCode>
                <c:ptCount val="303"/>
                <c:pt idx="0">
                  <c:v>-3213</c:v>
                </c:pt>
                <c:pt idx="1">
                  <c:v>-3212.9999999999982</c:v>
                </c:pt>
                <c:pt idx="2">
                  <c:v>-3213.0000000000027</c:v>
                </c:pt>
                <c:pt idx="3">
                  <c:v>-3213</c:v>
                </c:pt>
                <c:pt idx="4">
                  <c:v>-3212.9999999999982</c:v>
                </c:pt>
                <c:pt idx="5">
                  <c:v>-3213.0000000000018</c:v>
                </c:pt>
                <c:pt idx="6">
                  <c:v>-3213.0000000000009</c:v>
                </c:pt>
                <c:pt idx="7">
                  <c:v>-3212.9999999999991</c:v>
                </c:pt>
                <c:pt idx="8">
                  <c:v>-3212.9999999999964</c:v>
                </c:pt>
                <c:pt idx="9">
                  <c:v>-3213.0000000000018</c:v>
                </c:pt>
                <c:pt idx="10">
                  <c:v>-3212.9999999999991</c:v>
                </c:pt>
                <c:pt idx="11">
                  <c:v>-3212.9999999999973</c:v>
                </c:pt>
                <c:pt idx="12">
                  <c:v>-3213.0000000000009</c:v>
                </c:pt>
                <c:pt idx="13">
                  <c:v>-3213</c:v>
                </c:pt>
                <c:pt idx="14">
                  <c:v>-3212.9999999999982</c:v>
                </c:pt>
                <c:pt idx="15">
                  <c:v>-3213.0000000000018</c:v>
                </c:pt>
                <c:pt idx="16">
                  <c:v>-3212.9999999999991</c:v>
                </c:pt>
                <c:pt idx="17">
                  <c:v>-3213.0000000000018</c:v>
                </c:pt>
                <c:pt idx="18">
                  <c:v>-3213.0000000000018</c:v>
                </c:pt>
                <c:pt idx="19">
                  <c:v>-3213</c:v>
                </c:pt>
                <c:pt idx="20">
                  <c:v>-3212.9999999999982</c:v>
                </c:pt>
                <c:pt idx="21">
                  <c:v>-3212.9999999999982</c:v>
                </c:pt>
                <c:pt idx="22">
                  <c:v>-3213</c:v>
                </c:pt>
                <c:pt idx="23">
                  <c:v>-3213.0000000000018</c:v>
                </c:pt>
                <c:pt idx="24">
                  <c:v>-3212.9999999999991</c:v>
                </c:pt>
                <c:pt idx="25">
                  <c:v>-3213.0000000000009</c:v>
                </c:pt>
                <c:pt idx="26">
                  <c:v>-3212.9999999999982</c:v>
                </c:pt>
                <c:pt idx="27">
                  <c:v>-3213</c:v>
                </c:pt>
                <c:pt idx="28">
                  <c:v>-3213.0000000000009</c:v>
                </c:pt>
                <c:pt idx="29">
                  <c:v>-3212.9999999999991</c:v>
                </c:pt>
                <c:pt idx="30">
                  <c:v>-3212.9999999999991</c:v>
                </c:pt>
                <c:pt idx="31">
                  <c:v>-3212.9999999999964</c:v>
                </c:pt>
                <c:pt idx="32">
                  <c:v>-3213</c:v>
                </c:pt>
                <c:pt idx="33">
                  <c:v>-3213.0000000000036</c:v>
                </c:pt>
                <c:pt idx="34">
                  <c:v>-3212.9999999999964</c:v>
                </c:pt>
                <c:pt idx="35">
                  <c:v>-3213</c:v>
                </c:pt>
                <c:pt idx="36">
                  <c:v>-3213.0000000000036</c:v>
                </c:pt>
                <c:pt idx="37">
                  <c:v>-3212.9999999999964</c:v>
                </c:pt>
                <c:pt idx="38">
                  <c:v>-3213</c:v>
                </c:pt>
                <c:pt idx="39">
                  <c:v>-3213.0000000000036</c:v>
                </c:pt>
                <c:pt idx="40">
                  <c:v>-3212.9999999999964</c:v>
                </c:pt>
                <c:pt idx="41">
                  <c:v>-3213</c:v>
                </c:pt>
                <c:pt idx="42">
                  <c:v>-3212.9999999999991</c:v>
                </c:pt>
                <c:pt idx="43">
                  <c:v>-3213</c:v>
                </c:pt>
                <c:pt idx="44">
                  <c:v>-3213</c:v>
                </c:pt>
                <c:pt idx="45">
                  <c:v>-3212.9999999999991</c:v>
                </c:pt>
                <c:pt idx="46">
                  <c:v>-3213</c:v>
                </c:pt>
                <c:pt idx="47">
                  <c:v>-3213.0000000000009</c:v>
                </c:pt>
                <c:pt idx="48">
                  <c:v>-3212.9999999999991</c:v>
                </c:pt>
                <c:pt idx="49">
                  <c:v>-3213.0000000000009</c:v>
                </c:pt>
                <c:pt idx="50">
                  <c:v>-3213</c:v>
                </c:pt>
                <c:pt idx="51">
                  <c:v>-3212.9999999999991</c:v>
                </c:pt>
                <c:pt idx="52">
                  <c:v>-3212.9999999999991</c:v>
                </c:pt>
                <c:pt idx="53">
                  <c:v>-3213.0000000000009</c:v>
                </c:pt>
                <c:pt idx="54">
                  <c:v>-3213</c:v>
                </c:pt>
                <c:pt idx="55">
                  <c:v>-3213</c:v>
                </c:pt>
                <c:pt idx="56">
                  <c:v>-3213</c:v>
                </c:pt>
                <c:pt idx="57">
                  <c:v>-3213</c:v>
                </c:pt>
                <c:pt idx="58">
                  <c:v>-3213</c:v>
                </c:pt>
                <c:pt idx="59">
                  <c:v>-3213.0000000000009</c:v>
                </c:pt>
                <c:pt idx="60">
                  <c:v>-3213.0000000000009</c:v>
                </c:pt>
                <c:pt idx="61">
                  <c:v>-3213</c:v>
                </c:pt>
                <c:pt idx="62">
                  <c:v>-3213</c:v>
                </c:pt>
                <c:pt idx="63">
                  <c:v>-3212.9999999999991</c:v>
                </c:pt>
                <c:pt idx="64">
                  <c:v>-3213.0000000000009</c:v>
                </c:pt>
                <c:pt idx="65">
                  <c:v>-3213.0000000000009</c:v>
                </c:pt>
                <c:pt idx="66">
                  <c:v>-3213</c:v>
                </c:pt>
                <c:pt idx="67">
                  <c:v>-3213</c:v>
                </c:pt>
                <c:pt idx="68">
                  <c:v>-3213</c:v>
                </c:pt>
                <c:pt idx="69">
                  <c:v>-3213</c:v>
                </c:pt>
                <c:pt idx="70">
                  <c:v>-3213</c:v>
                </c:pt>
                <c:pt idx="71">
                  <c:v>-3213</c:v>
                </c:pt>
                <c:pt idx="72">
                  <c:v>-3213</c:v>
                </c:pt>
                <c:pt idx="73">
                  <c:v>-3213</c:v>
                </c:pt>
                <c:pt idx="74">
                  <c:v>-3213</c:v>
                </c:pt>
                <c:pt idx="75">
                  <c:v>-3213</c:v>
                </c:pt>
                <c:pt idx="76">
                  <c:v>-3213</c:v>
                </c:pt>
                <c:pt idx="77">
                  <c:v>-3213</c:v>
                </c:pt>
                <c:pt idx="78">
                  <c:v>-3213</c:v>
                </c:pt>
                <c:pt idx="79">
                  <c:v>-3213</c:v>
                </c:pt>
                <c:pt idx="80">
                  <c:v>-3213</c:v>
                </c:pt>
                <c:pt idx="81">
                  <c:v>-3213</c:v>
                </c:pt>
                <c:pt idx="82">
                  <c:v>-3213</c:v>
                </c:pt>
                <c:pt idx="83">
                  <c:v>-3213</c:v>
                </c:pt>
                <c:pt idx="84">
                  <c:v>-3213</c:v>
                </c:pt>
                <c:pt idx="85">
                  <c:v>-2952.9999999999977</c:v>
                </c:pt>
                <c:pt idx="86">
                  <c:v>-2474.0000000000014</c:v>
                </c:pt>
                <c:pt idx="87">
                  <c:v>-1994.9999999999995</c:v>
                </c:pt>
                <c:pt idx="88">
                  <c:v>-1515.9999999999973</c:v>
                </c:pt>
                <c:pt idx="89">
                  <c:v>-1036.0000000000018</c:v>
                </c:pt>
                <c:pt idx="90">
                  <c:v>-556.99999999999977</c:v>
                </c:pt>
                <c:pt idx="91">
                  <c:v>-77.99999999999774</c:v>
                </c:pt>
                <c:pt idx="92">
                  <c:v>400.99999999999864</c:v>
                </c:pt>
                <c:pt idx="93">
                  <c:v>880.99999999999977</c:v>
                </c:pt>
                <c:pt idx="94">
                  <c:v>1360.0000000000018</c:v>
                </c:pt>
                <c:pt idx="95">
                  <c:v>1787</c:v>
                </c:pt>
                <c:pt idx="96">
                  <c:v>1787</c:v>
                </c:pt>
                <c:pt idx="97">
                  <c:v>1787</c:v>
                </c:pt>
                <c:pt idx="98">
                  <c:v>1787</c:v>
                </c:pt>
                <c:pt idx="99">
                  <c:v>1787</c:v>
                </c:pt>
                <c:pt idx="100">
                  <c:v>1787</c:v>
                </c:pt>
                <c:pt idx="101">
                  <c:v>1787</c:v>
                </c:pt>
                <c:pt idx="102">
                  <c:v>1787</c:v>
                </c:pt>
                <c:pt idx="103">
                  <c:v>1787</c:v>
                </c:pt>
                <c:pt idx="104">
                  <c:v>1787</c:v>
                </c:pt>
                <c:pt idx="105">
                  <c:v>1787</c:v>
                </c:pt>
                <c:pt idx="106">
                  <c:v>1787</c:v>
                </c:pt>
                <c:pt idx="107">
                  <c:v>1787</c:v>
                </c:pt>
                <c:pt idx="108">
                  <c:v>1462.9999999999991</c:v>
                </c:pt>
                <c:pt idx="109">
                  <c:v>982.99999999999795</c:v>
                </c:pt>
                <c:pt idx="110">
                  <c:v>503.99999999999591</c:v>
                </c:pt>
                <c:pt idx="111">
                  <c:v>24.999999999999531</c:v>
                </c:pt>
                <c:pt idx="112">
                  <c:v>-454.99999999999591</c:v>
                </c:pt>
                <c:pt idx="113">
                  <c:v>-934.00000000000364</c:v>
                </c:pt>
                <c:pt idx="114">
                  <c:v>-1413</c:v>
                </c:pt>
                <c:pt idx="115">
                  <c:v>-1891.9999999999964</c:v>
                </c:pt>
                <c:pt idx="116">
                  <c:v>-2372.0000000000032</c:v>
                </c:pt>
                <c:pt idx="117">
                  <c:v>-2850.9999999999995</c:v>
                </c:pt>
                <c:pt idx="118">
                  <c:v>-3213</c:v>
                </c:pt>
                <c:pt idx="119">
                  <c:v>-3213</c:v>
                </c:pt>
                <c:pt idx="120">
                  <c:v>-3213</c:v>
                </c:pt>
                <c:pt idx="121">
                  <c:v>-3213</c:v>
                </c:pt>
                <c:pt idx="122">
                  <c:v>-3213</c:v>
                </c:pt>
                <c:pt idx="123">
                  <c:v>-3213.0000000000005</c:v>
                </c:pt>
                <c:pt idx="124">
                  <c:v>-3212.9999999999995</c:v>
                </c:pt>
                <c:pt idx="125">
                  <c:v>-3212.9999999999995</c:v>
                </c:pt>
                <c:pt idx="126">
                  <c:v>-3213</c:v>
                </c:pt>
                <c:pt idx="127">
                  <c:v>-3213</c:v>
                </c:pt>
                <c:pt idx="128">
                  <c:v>-3213</c:v>
                </c:pt>
                <c:pt idx="129">
                  <c:v>-3212.9999999999995</c:v>
                </c:pt>
                <c:pt idx="130">
                  <c:v>-3212.9999999999995</c:v>
                </c:pt>
                <c:pt idx="131">
                  <c:v>-3213</c:v>
                </c:pt>
                <c:pt idx="132">
                  <c:v>-3213</c:v>
                </c:pt>
                <c:pt idx="133">
                  <c:v>-3213</c:v>
                </c:pt>
                <c:pt idx="134">
                  <c:v>-3213</c:v>
                </c:pt>
                <c:pt idx="135">
                  <c:v>-3213.0000000000005</c:v>
                </c:pt>
                <c:pt idx="136">
                  <c:v>-3213.0000000000005</c:v>
                </c:pt>
                <c:pt idx="137">
                  <c:v>-3213</c:v>
                </c:pt>
                <c:pt idx="138">
                  <c:v>-3212.9999999999991</c:v>
                </c:pt>
                <c:pt idx="139">
                  <c:v>-3212.9999999999991</c:v>
                </c:pt>
                <c:pt idx="140">
                  <c:v>-3213.0000000000005</c:v>
                </c:pt>
                <c:pt idx="141">
                  <c:v>-3213.0000000000005</c:v>
                </c:pt>
                <c:pt idx="142">
                  <c:v>-3212.9999999999995</c:v>
                </c:pt>
                <c:pt idx="143">
                  <c:v>-3212.9999999999991</c:v>
                </c:pt>
                <c:pt idx="144">
                  <c:v>-3212.9999999999991</c:v>
                </c:pt>
                <c:pt idx="145">
                  <c:v>-3212.9999999999991</c:v>
                </c:pt>
                <c:pt idx="146">
                  <c:v>-3212.9999999999995</c:v>
                </c:pt>
                <c:pt idx="147">
                  <c:v>-3212.9999999999995</c:v>
                </c:pt>
                <c:pt idx="148">
                  <c:v>-3212.9999999999995</c:v>
                </c:pt>
                <c:pt idx="149">
                  <c:v>-3213</c:v>
                </c:pt>
                <c:pt idx="150">
                  <c:v>-3213</c:v>
                </c:pt>
                <c:pt idx="151">
                  <c:v>-3213</c:v>
                </c:pt>
                <c:pt idx="152">
                  <c:v>-3212.9999999999995</c:v>
                </c:pt>
                <c:pt idx="153">
                  <c:v>-3213.0000000000005</c:v>
                </c:pt>
                <c:pt idx="154">
                  <c:v>-3213.0000000000005</c:v>
                </c:pt>
                <c:pt idx="155">
                  <c:v>-3213</c:v>
                </c:pt>
                <c:pt idx="156">
                  <c:v>-3213.0000000000009</c:v>
                </c:pt>
                <c:pt idx="157">
                  <c:v>-3213.0000000000009</c:v>
                </c:pt>
                <c:pt idx="158">
                  <c:v>-3213.0000000000005</c:v>
                </c:pt>
                <c:pt idx="159">
                  <c:v>-3213.0000000000005</c:v>
                </c:pt>
                <c:pt idx="160">
                  <c:v>-3213.0000000000014</c:v>
                </c:pt>
                <c:pt idx="161">
                  <c:v>-3213.0000000000009</c:v>
                </c:pt>
                <c:pt idx="162">
                  <c:v>-3213.0000000000009</c:v>
                </c:pt>
                <c:pt idx="163">
                  <c:v>-3212.9999999999982</c:v>
                </c:pt>
                <c:pt idx="164">
                  <c:v>-3213.0000000000014</c:v>
                </c:pt>
                <c:pt idx="165">
                  <c:v>-3213.0000000000014</c:v>
                </c:pt>
                <c:pt idx="166">
                  <c:v>-3213.0000000000014</c:v>
                </c:pt>
                <c:pt idx="167">
                  <c:v>-3212.9999999999982</c:v>
                </c:pt>
                <c:pt idx="168">
                  <c:v>-3213.0000000000018</c:v>
                </c:pt>
                <c:pt idx="169">
                  <c:v>-3212.9999999999982</c:v>
                </c:pt>
                <c:pt idx="170">
                  <c:v>-3213.0000000000014</c:v>
                </c:pt>
                <c:pt idx="171">
                  <c:v>-3212.9999999999986</c:v>
                </c:pt>
                <c:pt idx="172">
                  <c:v>-3213.0000000000018</c:v>
                </c:pt>
                <c:pt idx="173">
                  <c:v>-3212.9999999999982</c:v>
                </c:pt>
                <c:pt idx="174">
                  <c:v>-3212.9999999999991</c:v>
                </c:pt>
                <c:pt idx="175">
                  <c:v>-3212.9999999999986</c:v>
                </c:pt>
                <c:pt idx="176">
                  <c:v>-3212.9999999999986</c:v>
                </c:pt>
                <c:pt idx="177">
                  <c:v>-3212.9999999999986</c:v>
                </c:pt>
                <c:pt idx="178">
                  <c:v>-3212.9999999999991</c:v>
                </c:pt>
                <c:pt idx="179">
                  <c:v>-3212.9999999999991</c:v>
                </c:pt>
                <c:pt idx="180">
                  <c:v>-3212.9999999999991</c:v>
                </c:pt>
                <c:pt idx="181">
                  <c:v>-3212.9999999999995</c:v>
                </c:pt>
                <c:pt idx="182">
                  <c:v>-3212.9999999999995</c:v>
                </c:pt>
                <c:pt idx="183">
                  <c:v>-3213.0000000000032</c:v>
                </c:pt>
                <c:pt idx="184">
                  <c:v>-3213.0000000000027</c:v>
                </c:pt>
                <c:pt idx="185">
                  <c:v>-3213</c:v>
                </c:pt>
                <c:pt idx="186">
                  <c:v>-3213.0000000000036</c:v>
                </c:pt>
                <c:pt idx="187">
                  <c:v>-3213.0000000000032</c:v>
                </c:pt>
                <c:pt idx="188">
                  <c:v>-3213.0000000000005</c:v>
                </c:pt>
                <c:pt idx="189">
                  <c:v>-3212.9999999999968</c:v>
                </c:pt>
                <c:pt idx="190">
                  <c:v>-3212.9999999999964</c:v>
                </c:pt>
                <c:pt idx="191">
                  <c:v>-3213</c:v>
                </c:pt>
                <c:pt idx="192">
                  <c:v>-3212.9999999999973</c:v>
                </c:pt>
                <c:pt idx="193">
                  <c:v>-3212.9999999999968</c:v>
                </c:pt>
                <c:pt idx="194">
                  <c:v>-3213.0000000000005</c:v>
                </c:pt>
                <c:pt idx="195">
                  <c:v>-3212.9999999999968</c:v>
                </c:pt>
                <c:pt idx="196">
                  <c:v>-3212.9999999999973</c:v>
                </c:pt>
                <c:pt idx="197">
                  <c:v>-3213.0000000000009</c:v>
                </c:pt>
                <c:pt idx="198">
                  <c:v>-3212.9999999999973</c:v>
                </c:pt>
                <c:pt idx="199">
                  <c:v>-3212.9999999999977</c:v>
                </c:pt>
                <c:pt idx="200">
                  <c:v>-3213.0000000000014</c:v>
                </c:pt>
                <c:pt idx="201">
                  <c:v>-3212.9999999999977</c:v>
                </c:pt>
                <c:pt idx="202">
                  <c:v>-3212.9999999999973</c:v>
                </c:pt>
                <c:pt idx="203">
                  <c:v>-3213.0000000000018</c:v>
                </c:pt>
                <c:pt idx="204">
                  <c:v>-3212.9999999999982</c:v>
                </c:pt>
                <c:pt idx="205">
                  <c:v>-3212.9999999999977</c:v>
                </c:pt>
                <c:pt idx="206">
                  <c:v>-3213.0000000000023</c:v>
                </c:pt>
                <c:pt idx="207">
                  <c:v>-3213.0000000000018</c:v>
                </c:pt>
                <c:pt idx="208">
                  <c:v>-3212.9999999999982</c:v>
                </c:pt>
                <c:pt idx="209">
                  <c:v>-3213.0000000000018</c:v>
                </c:pt>
                <c:pt idx="210">
                  <c:v>-3213.0000000000023</c:v>
                </c:pt>
                <c:pt idx="211">
                  <c:v>-3212.9999999999986</c:v>
                </c:pt>
                <c:pt idx="212">
                  <c:v>-3213.0000000000023</c:v>
                </c:pt>
                <c:pt idx="213">
                  <c:v>-3213.0000000000027</c:v>
                </c:pt>
                <c:pt idx="214">
                  <c:v>-3212.9999999999991</c:v>
                </c:pt>
                <c:pt idx="215">
                  <c:v>-3213.0000000000027</c:v>
                </c:pt>
                <c:pt idx="216">
                  <c:v>-3213.0000000000023</c:v>
                </c:pt>
                <c:pt idx="217">
                  <c:v>-3212.9999999999995</c:v>
                </c:pt>
                <c:pt idx="218">
                  <c:v>-3212.9999999999991</c:v>
                </c:pt>
                <c:pt idx="219">
                  <c:v>-3213.0000000000027</c:v>
                </c:pt>
                <c:pt idx="220">
                  <c:v>-3212.9999999999991</c:v>
                </c:pt>
                <c:pt idx="221">
                  <c:v>-3213.0000000000036</c:v>
                </c:pt>
                <c:pt idx="222">
                  <c:v>-3213</c:v>
                </c:pt>
                <c:pt idx="223">
                  <c:v>-3212.9999999999964</c:v>
                </c:pt>
                <c:pt idx="224">
                  <c:v>-3213</c:v>
                </c:pt>
                <c:pt idx="225">
                  <c:v>-3212.9999999999964</c:v>
                </c:pt>
                <c:pt idx="226">
                  <c:v>-3213</c:v>
                </c:pt>
                <c:pt idx="227">
                  <c:v>-3213.0000000000036</c:v>
                </c:pt>
                <c:pt idx="228">
                  <c:v>-3213.0000000000009</c:v>
                </c:pt>
                <c:pt idx="229">
                  <c:v>-3213.0000000000036</c:v>
                </c:pt>
                <c:pt idx="230">
                  <c:v>-3213</c:v>
                </c:pt>
                <c:pt idx="231">
                  <c:v>-3212.9999999999973</c:v>
                </c:pt>
                <c:pt idx="232">
                  <c:v>-3213.0000000000009</c:v>
                </c:pt>
                <c:pt idx="233">
                  <c:v>-3212.9999999999973</c:v>
                </c:pt>
                <c:pt idx="234">
                  <c:v>-3213.0000000000009</c:v>
                </c:pt>
                <c:pt idx="235">
                  <c:v>-3212.9999999999973</c:v>
                </c:pt>
                <c:pt idx="236">
                  <c:v>-3213.0000000000009</c:v>
                </c:pt>
                <c:pt idx="237">
                  <c:v>-3212.9999999999973</c:v>
                </c:pt>
                <c:pt idx="238">
                  <c:v>-3213.0000000000018</c:v>
                </c:pt>
                <c:pt idx="239">
                  <c:v>-3212.9999999999982</c:v>
                </c:pt>
                <c:pt idx="240">
                  <c:v>-3213.0000000000018</c:v>
                </c:pt>
                <c:pt idx="241">
                  <c:v>-3212.9999999999973</c:v>
                </c:pt>
                <c:pt idx="242">
                  <c:v>-3213.0000000000018</c:v>
                </c:pt>
                <c:pt idx="243">
                  <c:v>-3212.9999999999982</c:v>
                </c:pt>
                <c:pt idx="244">
                  <c:v>-3213.0000000000018</c:v>
                </c:pt>
                <c:pt idx="245">
                  <c:v>-3212.9999999999982</c:v>
                </c:pt>
                <c:pt idx="246">
                  <c:v>-3213.0000000000027</c:v>
                </c:pt>
                <c:pt idx="247">
                  <c:v>-3212.9999999999982</c:v>
                </c:pt>
                <c:pt idx="248">
                  <c:v>-3213.0000000000018</c:v>
                </c:pt>
                <c:pt idx="249">
                  <c:v>-3212.9999999999991</c:v>
                </c:pt>
                <c:pt idx="250">
                  <c:v>-3213.0000000000027</c:v>
                </c:pt>
                <c:pt idx="251">
                  <c:v>-3213.0000000000064</c:v>
                </c:pt>
                <c:pt idx="252">
                  <c:v>-3212.9999999999955</c:v>
                </c:pt>
                <c:pt idx="253">
                  <c:v>-3213.0000000000064</c:v>
                </c:pt>
                <c:pt idx="254">
                  <c:v>-3212.9999999999955</c:v>
                </c:pt>
                <c:pt idx="255">
                  <c:v>-3212.9999999999991</c:v>
                </c:pt>
                <c:pt idx="256">
                  <c:v>-3213.0000000000036</c:v>
                </c:pt>
                <c:pt idx="257">
                  <c:v>-3213.0000000000073</c:v>
                </c:pt>
                <c:pt idx="258">
                  <c:v>-3212.9999999999964</c:v>
                </c:pt>
                <c:pt idx="259">
                  <c:v>-3213.0000000000064</c:v>
                </c:pt>
                <c:pt idx="260">
                  <c:v>-3212.9999999999964</c:v>
                </c:pt>
                <c:pt idx="261">
                  <c:v>-3213</c:v>
                </c:pt>
                <c:pt idx="262">
                  <c:v>-3213.0000000000036</c:v>
                </c:pt>
                <c:pt idx="263">
                  <c:v>-3212.9999999999936</c:v>
                </c:pt>
                <c:pt idx="264">
                  <c:v>-3213.0000000000036</c:v>
                </c:pt>
                <c:pt idx="265">
                  <c:v>-3212.9999999999927</c:v>
                </c:pt>
                <c:pt idx="266">
                  <c:v>-3212.9999999999964</c:v>
                </c:pt>
                <c:pt idx="267">
                  <c:v>-3213.0000000000009</c:v>
                </c:pt>
                <c:pt idx="268">
                  <c:v>-3213.0000000000045</c:v>
                </c:pt>
                <c:pt idx="269">
                  <c:v>-3212.9999999999936</c:v>
                </c:pt>
                <c:pt idx="270">
                  <c:v>-3213.0000000000036</c:v>
                </c:pt>
                <c:pt idx="271">
                  <c:v>-3212.9999999999936</c:v>
                </c:pt>
                <c:pt idx="272">
                  <c:v>-3212.9999999999973</c:v>
                </c:pt>
                <c:pt idx="273">
                  <c:v>-3213.0000000000009</c:v>
                </c:pt>
                <c:pt idx="274">
                  <c:v>-3213.0000000000055</c:v>
                </c:pt>
                <c:pt idx="275">
                  <c:v>-3212.9999999999945</c:v>
                </c:pt>
                <c:pt idx="276">
                  <c:v>-3213.0000000000045</c:v>
                </c:pt>
                <c:pt idx="277">
                  <c:v>-3212.9999999999936</c:v>
                </c:pt>
                <c:pt idx="278">
                  <c:v>-3212.9999999999982</c:v>
                </c:pt>
                <c:pt idx="279">
                  <c:v>-3213.0000000000018</c:v>
                </c:pt>
                <c:pt idx="280">
                  <c:v>-3213.0000000000055</c:v>
                </c:pt>
                <c:pt idx="281">
                  <c:v>-3212.9999999999955</c:v>
                </c:pt>
                <c:pt idx="282">
                  <c:v>-3213.0000000000055</c:v>
                </c:pt>
                <c:pt idx="283">
                  <c:v>-3212.9999999999945</c:v>
                </c:pt>
                <c:pt idx="284">
                  <c:v>-3212.9999999999982</c:v>
                </c:pt>
                <c:pt idx="285">
                  <c:v>-3213.0000000000027</c:v>
                </c:pt>
                <c:pt idx="286">
                  <c:v>-3213.0000000000064</c:v>
                </c:pt>
                <c:pt idx="287">
                  <c:v>-3212.9999999999955</c:v>
                </c:pt>
                <c:pt idx="288">
                  <c:v>-3213.0000000000064</c:v>
                </c:pt>
                <c:pt idx="289">
                  <c:v>-3212.9999999999955</c:v>
                </c:pt>
                <c:pt idx="290">
                  <c:v>-3212.9999999999991</c:v>
                </c:pt>
                <c:pt idx="291">
                  <c:v>-3213.0000000000027</c:v>
                </c:pt>
                <c:pt idx="292">
                  <c:v>-3213.0000000000073</c:v>
                </c:pt>
                <c:pt idx="293">
                  <c:v>-3212.9999999999964</c:v>
                </c:pt>
                <c:pt idx="294">
                  <c:v>-3213.0000000000064</c:v>
                </c:pt>
                <c:pt idx="295">
                  <c:v>-3212.9999999999955</c:v>
                </c:pt>
                <c:pt idx="296">
                  <c:v>-3213</c:v>
                </c:pt>
                <c:pt idx="297">
                  <c:v>-3213.0000000000036</c:v>
                </c:pt>
                <c:pt idx="298">
                  <c:v>-3213.0000000000073</c:v>
                </c:pt>
                <c:pt idx="299">
                  <c:v>-3213.0000000000036</c:v>
                </c:pt>
                <c:pt idx="300">
                  <c:v>-3212.9999999999927</c:v>
                </c:pt>
                <c:pt idx="301">
                  <c:v>-3212.9999999999964</c:v>
                </c:pt>
                <c:pt idx="302" formatCode="General">
                  <c:v>-3213</c:v>
                </c:pt>
              </c:numCache>
            </c:numRef>
          </c:yVal>
          <c:smooth val="0"/>
          <c:extLst>
            <c:ext xmlns:c16="http://schemas.microsoft.com/office/drawing/2014/chart" uri="{C3380CC4-5D6E-409C-BE32-E72D297353CC}">
              <c16:uniqueId val="{00000000-EDB3-4DB4-A87E-020412D75C18}"/>
            </c:ext>
          </c:extLst>
        </c:ser>
        <c:ser>
          <c:idx val="2"/>
          <c:order val="1"/>
          <c:tx>
            <c:v>Stock</c:v>
          </c:tx>
          <c:spPr>
            <a:ln w="19050" cap="rnd">
              <a:solidFill>
                <a:srgbClr val="A0A0A0"/>
              </a:solidFill>
              <a:prstDash val="dash"/>
              <a:round/>
            </a:ln>
            <a:effectLst/>
          </c:spPr>
          <c:marker>
            <c:symbol val="none"/>
          </c:marker>
          <c:xVal>
            <c:numRef>
              <c:f>Calc!$A$2:$A$304</c:f>
              <c:numCache>
                <c:formatCode>_(* #,##0.00_);_(* \(#,##0.00\);_(* "-"??_);_(@_)</c:formatCode>
                <c:ptCount val="303"/>
                <c:pt idx="0">
                  <c:v>0</c:v>
                </c:pt>
                <c:pt idx="1">
                  <c:v>4.79</c:v>
                </c:pt>
                <c:pt idx="2">
                  <c:v>9.59</c:v>
                </c:pt>
                <c:pt idx="3">
                  <c:v>14.38</c:v>
                </c:pt>
                <c:pt idx="4">
                  <c:v>19.170000000000002</c:v>
                </c:pt>
                <c:pt idx="5">
                  <c:v>23.96</c:v>
                </c:pt>
                <c:pt idx="6">
                  <c:v>28.76</c:v>
                </c:pt>
                <c:pt idx="7">
                  <c:v>33.549999999999997</c:v>
                </c:pt>
                <c:pt idx="8">
                  <c:v>38.340000000000003</c:v>
                </c:pt>
                <c:pt idx="9">
                  <c:v>43.14</c:v>
                </c:pt>
                <c:pt idx="10">
                  <c:v>47.93</c:v>
                </c:pt>
                <c:pt idx="11">
                  <c:v>52.72</c:v>
                </c:pt>
                <c:pt idx="12">
                  <c:v>57.51</c:v>
                </c:pt>
                <c:pt idx="13">
                  <c:v>62.31</c:v>
                </c:pt>
                <c:pt idx="14">
                  <c:v>67.099999999999994</c:v>
                </c:pt>
                <c:pt idx="15">
                  <c:v>71.89</c:v>
                </c:pt>
                <c:pt idx="16">
                  <c:v>76.680000000000007</c:v>
                </c:pt>
                <c:pt idx="17">
                  <c:v>81.48</c:v>
                </c:pt>
                <c:pt idx="18">
                  <c:v>86.27</c:v>
                </c:pt>
                <c:pt idx="19">
                  <c:v>91.06</c:v>
                </c:pt>
                <c:pt idx="20">
                  <c:v>95.86</c:v>
                </c:pt>
                <c:pt idx="21">
                  <c:v>100.65</c:v>
                </c:pt>
                <c:pt idx="22">
                  <c:v>105.44</c:v>
                </c:pt>
                <c:pt idx="23">
                  <c:v>110.23</c:v>
                </c:pt>
                <c:pt idx="24">
                  <c:v>115.03</c:v>
                </c:pt>
                <c:pt idx="25">
                  <c:v>119.82</c:v>
                </c:pt>
                <c:pt idx="26">
                  <c:v>124.61</c:v>
                </c:pt>
                <c:pt idx="27">
                  <c:v>129.41</c:v>
                </c:pt>
                <c:pt idx="28">
                  <c:v>134.19999999999999</c:v>
                </c:pt>
                <c:pt idx="29">
                  <c:v>138.99</c:v>
                </c:pt>
                <c:pt idx="30">
                  <c:v>143.78</c:v>
                </c:pt>
                <c:pt idx="31">
                  <c:v>148.58000000000001</c:v>
                </c:pt>
                <c:pt idx="32">
                  <c:v>153.37</c:v>
                </c:pt>
                <c:pt idx="33">
                  <c:v>158.16</c:v>
                </c:pt>
                <c:pt idx="34">
                  <c:v>162.96</c:v>
                </c:pt>
                <c:pt idx="35">
                  <c:v>167.75</c:v>
                </c:pt>
                <c:pt idx="36">
                  <c:v>172.54</c:v>
                </c:pt>
                <c:pt idx="37">
                  <c:v>177.33</c:v>
                </c:pt>
                <c:pt idx="38">
                  <c:v>182.13</c:v>
                </c:pt>
                <c:pt idx="39">
                  <c:v>186.92</c:v>
                </c:pt>
                <c:pt idx="40">
                  <c:v>191.71</c:v>
                </c:pt>
                <c:pt idx="41">
                  <c:v>196.5</c:v>
                </c:pt>
                <c:pt idx="42">
                  <c:v>201.3</c:v>
                </c:pt>
                <c:pt idx="43">
                  <c:v>206.09</c:v>
                </c:pt>
                <c:pt idx="44">
                  <c:v>210.88</c:v>
                </c:pt>
                <c:pt idx="45">
                  <c:v>215.68</c:v>
                </c:pt>
                <c:pt idx="46">
                  <c:v>220.47</c:v>
                </c:pt>
                <c:pt idx="47">
                  <c:v>225.26</c:v>
                </c:pt>
                <c:pt idx="48">
                  <c:v>230.05</c:v>
                </c:pt>
                <c:pt idx="49">
                  <c:v>234.85</c:v>
                </c:pt>
                <c:pt idx="50">
                  <c:v>239.64</c:v>
                </c:pt>
                <c:pt idx="51">
                  <c:v>244.43</c:v>
                </c:pt>
                <c:pt idx="52">
                  <c:v>249.23</c:v>
                </c:pt>
                <c:pt idx="53">
                  <c:v>254.02</c:v>
                </c:pt>
                <c:pt idx="54">
                  <c:v>258.81</c:v>
                </c:pt>
                <c:pt idx="55">
                  <c:v>263.60000000000002</c:v>
                </c:pt>
                <c:pt idx="56">
                  <c:v>268.39999999999998</c:v>
                </c:pt>
                <c:pt idx="57">
                  <c:v>273.19</c:v>
                </c:pt>
                <c:pt idx="58">
                  <c:v>277.98</c:v>
                </c:pt>
                <c:pt idx="59">
                  <c:v>282.77999999999997</c:v>
                </c:pt>
                <c:pt idx="60">
                  <c:v>287.57</c:v>
                </c:pt>
                <c:pt idx="61">
                  <c:v>292.36</c:v>
                </c:pt>
                <c:pt idx="62">
                  <c:v>297.14999999999998</c:v>
                </c:pt>
                <c:pt idx="63">
                  <c:v>301.95</c:v>
                </c:pt>
                <c:pt idx="64">
                  <c:v>306.74</c:v>
                </c:pt>
                <c:pt idx="65">
                  <c:v>311.52999999999997</c:v>
                </c:pt>
                <c:pt idx="66">
                  <c:v>316.32</c:v>
                </c:pt>
                <c:pt idx="67">
                  <c:v>321.12</c:v>
                </c:pt>
                <c:pt idx="68">
                  <c:v>325.91000000000003</c:v>
                </c:pt>
                <c:pt idx="69">
                  <c:v>330.7</c:v>
                </c:pt>
                <c:pt idx="70">
                  <c:v>335.5</c:v>
                </c:pt>
                <c:pt idx="71">
                  <c:v>340.29</c:v>
                </c:pt>
                <c:pt idx="72">
                  <c:v>345.08</c:v>
                </c:pt>
                <c:pt idx="73">
                  <c:v>349.87</c:v>
                </c:pt>
                <c:pt idx="74">
                  <c:v>354.67</c:v>
                </c:pt>
                <c:pt idx="75">
                  <c:v>359.46</c:v>
                </c:pt>
                <c:pt idx="76">
                  <c:v>364.25</c:v>
                </c:pt>
                <c:pt idx="77">
                  <c:v>369.05</c:v>
                </c:pt>
                <c:pt idx="78">
                  <c:v>373.84</c:v>
                </c:pt>
                <c:pt idx="79">
                  <c:v>378.63</c:v>
                </c:pt>
                <c:pt idx="80">
                  <c:v>383.42</c:v>
                </c:pt>
                <c:pt idx="81">
                  <c:v>388.22</c:v>
                </c:pt>
                <c:pt idx="82">
                  <c:v>393.01</c:v>
                </c:pt>
                <c:pt idx="83">
                  <c:v>397.8</c:v>
                </c:pt>
                <c:pt idx="84">
                  <c:v>400</c:v>
                </c:pt>
                <c:pt idx="85">
                  <c:v>402.6</c:v>
                </c:pt>
                <c:pt idx="86">
                  <c:v>407.39</c:v>
                </c:pt>
                <c:pt idx="87">
                  <c:v>412.18</c:v>
                </c:pt>
                <c:pt idx="88">
                  <c:v>416.97</c:v>
                </c:pt>
                <c:pt idx="89">
                  <c:v>421.77</c:v>
                </c:pt>
                <c:pt idx="90">
                  <c:v>426.56</c:v>
                </c:pt>
                <c:pt idx="91">
                  <c:v>431.35</c:v>
                </c:pt>
                <c:pt idx="92">
                  <c:v>436.14</c:v>
                </c:pt>
                <c:pt idx="93">
                  <c:v>440.94</c:v>
                </c:pt>
                <c:pt idx="94">
                  <c:v>445.73</c:v>
                </c:pt>
                <c:pt idx="95">
                  <c:v>450</c:v>
                </c:pt>
                <c:pt idx="96">
                  <c:v>450.52</c:v>
                </c:pt>
                <c:pt idx="97">
                  <c:v>455.32</c:v>
                </c:pt>
                <c:pt idx="98">
                  <c:v>460.11</c:v>
                </c:pt>
                <c:pt idx="99">
                  <c:v>464.9</c:v>
                </c:pt>
                <c:pt idx="100">
                  <c:v>469.69</c:v>
                </c:pt>
                <c:pt idx="101">
                  <c:v>474.49</c:v>
                </c:pt>
                <c:pt idx="102">
                  <c:v>479.28</c:v>
                </c:pt>
                <c:pt idx="103">
                  <c:v>484.07</c:v>
                </c:pt>
                <c:pt idx="104">
                  <c:v>488.87</c:v>
                </c:pt>
                <c:pt idx="105">
                  <c:v>493.66</c:v>
                </c:pt>
                <c:pt idx="106">
                  <c:v>498.45</c:v>
                </c:pt>
                <c:pt idx="107">
                  <c:v>500</c:v>
                </c:pt>
                <c:pt idx="108">
                  <c:v>503.24</c:v>
                </c:pt>
                <c:pt idx="109">
                  <c:v>508.04</c:v>
                </c:pt>
                <c:pt idx="110">
                  <c:v>512.83000000000004</c:v>
                </c:pt>
                <c:pt idx="111">
                  <c:v>517.62</c:v>
                </c:pt>
                <c:pt idx="112">
                  <c:v>522.41999999999996</c:v>
                </c:pt>
                <c:pt idx="113">
                  <c:v>527.21</c:v>
                </c:pt>
                <c:pt idx="114">
                  <c:v>532</c:v>
                </c:pt>
                <c:pt idx="115">
                  <c:v>536.79</c:v>
                </c:pt>
                <c:pt idx="116">
                  <c:v>541.59</c:v>
                </c:pt>
                <c:pt idx="117">
                  <c:v>546.38</c:v>
                </c:pt>
                <c:pt idx="118">
                  <c:v>550</c:v>
                </c:pt>
                <c:pt idx="119">
                  <c:v>551.16999999999996</c:v>
                </c:pt>
                <c:pt idx="120">
                  <c:v>555.96</c:v>
                </c:pt>
                <c:pt idx="121">
                  <c:v>560.76</c:v>
                </c:pt>
                <c:pt idx="122">
                  <c:v>565.54999999999995</c:v>
                </c:pt>
                <c:pt idx="123">
                  <c:v>570.34</c:v>
                </c:pt>
                <c:pt idx="124">
                  <c:v>575.14</c:v>
                </c:pt>
                <c:pt idx="125">
                  <c:v>579.92999999999995</c:v>
                </c:pt>
                <c:pt idx="126">
                  <c:v>584.72</c:v>
                </c:pt>
                <c:pt idx="127">
                  <c:v>589.51</c:v>
                </c:pt>
                <c:pt idx="128">
                  <c:v>594.30999999999995</c:v>
                </c:pt>
                <c:pt idx="129">
                  <c:v>599.1</c:v>
                </c:pt>
                <c:pt idx="130">
                  <c:v>603.89</c:v>
                </c:pt>
                <c:pt idx="131">
                  <c:v>608.69000000000005</c:v>
                </c:pt>
                <c:pt idx="132">
                  <c:v>613.48</c:v>
                </c:pt>
                <c:pt idx="133">
                  <c:v>618.27</c:v>
                </c:pt>
                <c:pt idx="134">
                  <c:v>623.05999999999995</c:v>
                </c:pt>
                <c:pt idx="135">
                  <c:v>627.86</c:v>
                </c:pt>
                <c:pt idx="136">
                  <c:v>632.65</c:v>
                </c:pt>
                <c:pt idx="137">
                  <c:v>637.44000000000005</c:v>
                </c:pt>
                <c:pt idx="138">
                  <c:v>642.24</c:v>
                </c:pt>
                <c:pt idx="139">
                  <c:v>647.03</c:v>
                </c:pt>
                <c:pt idx="140">
                  <c:v>651.82000000000005</c:v>
                </c:pt>
                <c:pt idx="141">
                  <c:v>656.61</c:v>
                </c:pt>
                <c:pt idx="142">
                  <c:v>661.41</c:v>
                </c:pt>
                <c:pt idx="143">
                  <c:v>666.2</c:v>
                </c:pt>
                <c:pt idx="144">
                  <c:v>670.99</c:v>
                </c:pt>
                <c:pt idx="145">
                  <c:v>675.78</c:v>
                </c:pt>
                <c:pt idx="146">
                  <c:v>680.58</c:v>
                </c:pt>
                <c:pt idx="147">
                  <c:v>685.37</c:v>
                </c:pt>
                <c:pt idx="148">
                  <c:v>690.16</c:v>
                </c:pt>
                <c:pt idx="149">
                  <c:v>694.96</c:v>
                </c:pt>
                <c:pt idx="150">
                  <c:v>699.75</c:v>
                </c:pt>
                <c:pt idx="151">
                  <c:v>704.54</c:v>
                </c:pt>
                <c:pt idx="152">
                  <c:v>709.33</c:v>
                </c:pt>
                <c:pt idx="153">
                  <c:v>714.13</c:v>
                </c:pt>
                <c:pt idx="154">
                  <c:v>718.92</c:v>
                </c:pt>
                <c:pt idx="155">
                  <c:v>723.71</c:v>
                </c:pt>
                <c:pt idx="156">
                  <c:v>728.51</c:v>
                </c:pt>
                <c:pt idx="157">
                  <c:v>733.3</c:v>
                </c:pt>
                <c:pt idx="158">
                  <c:v>738.09</c:v>
                </c:pt>
                <c:pt idx="159">
                  <c:v>742.88</c:v>
                </c:pt>
                <c:pt idx="160">
                  <c:v>747.68</c:v>
                </c:pt>
                <c:pt idx="161">
                  <c:v>752.47</c:v>
                </c:pt>
                <c:pt idx="162">
                  <c:v>757.26</c:v>
                </c:pt>
                <c:pt idx="163">
                  <c:v>762.06</c:v>
                </c:pt>
                <c:pt idx="164">
                  <c:v>766.85</c:v>
                </c:pt>
                <c:pt idx="165">
                  <c:v>771.64</c:v>
                </c:pt>
                <c:pt idx="166">
                  <c:v>776.43</c:v>
                </c:pt>
                <c:pt idx="167">
                  <c:v>781.23</c:v>
                </c:pt>
                <c:pt idx="168">
                  <c:v>786.02</c:v>
                </c:pt>
                <c:pt idx="169">
                  <c:v>790.81</c:v>
                </c:pt>
                <c:pt idx="170">
                  <c:v>795.6</c:v>
                </c:pt>
                <c:pt idx="171">
                  <c:v>800.4</c:v>
                </c:pt>
                <c:pt idx="172">
                  <c:v>805.19</c:v>
                </c:pt>
                <c:pt idx="173">
                  <c:v>809.98</c:v>
                </c:pt>
                <c:pt idx="174">
                  <c:v>814.78</c:v>
                </c:pt>
                <c:pt idx="175">
                  <c:v>819.57</c:v>
                </c:pt>
                <c:pt idx="176">
                  <c:v>824.36</c:v>
                </c:pt>
                <c:pt idx="177">
                  <c:v>829.15</c:v>
                </c:pt>
                <c:pt idx="178">
                  <c:v>833.95</c:v>
                </c:pt>
                <c:pt idx="179">
                  <c:v>838.74</c:v>
                </c:pt>
                <c:pt idx="180">
                  <c:v>843.53</c:v>
                </c:pt>
                <c:pt idx="181">
                  <c:v>848.33</c:v>
                </c:pt>
                <c:pt idx="182">
                  <c:v>853.12</c:v>
                </c:pt>
                <c:pt idx="183">
                  <c:v>857.91</c:v>
                </c:pt>
                <c:pt idx="184">
                  <c:v>862.7</c:v>
                </c:pt>
                <c:pt idx="185">
                  <c:v>867.5</c:v>
                </c:pt>
                <c:pt idx="186">
                  <c:v>872.29</c:v>
                </c:pt>
                <c:pt idx="187">
                  <c:v>877.08</c:v>
                </c:pt>
                <c:pt idx="188">
                  <c:v>881.88</c:v>
                </c:pt>
                <c:pt idx="189">
                  <c:v>886.67</c:v>
                </c:pt>
                <c:pt idx="190">
                  <c:v>891.46</c:v>
                </c:pt>
                <c:pt idx="191">
                  <c:v>896.25</c:v>
                </c:pt>
                <c:pt idx="192">
                  <c:v>901.05</c:v>
                </c:pt>
                <c:pt idx="193">
                  <c:v>905.84</c:v>
                </c:pt>
                <c:pt idx="194">
                  <c:v>910.63</c:v>
                </c:pt>
                <c:pt idx="195">
                  <c:v>915.42</c:v>
                </c:pt>
                <c:pt idx="196">
                  <c:v>920.22</c:v>
                </c:pt>
                <c:pt idx="197">
                  <c:v>925.01</c:v>
                </c:pt>
                <c:pt idx="198">
                  <c:v>929.8</c:v>
                </c:pt>
                <c:pt idx="199">
                  <c:v>934.6</c:v>
                </c:pt>
                <c:pt idx="200">
                  <c:v>939.39</c:v>
                </c:pt>
                <c:pt idx="201">
                  <c:v>944.18</c:v>
                </c:pt>
                <c:pt idx="202">
                  <c:v>948.97</c:v>
                </c:pt>
                <c:pt idx="203">
                  <c:v>953.77</c:v>
                </c:pt>
                <c:pt idx="204">
                  <c:v>958.56</c:v>
                </c:pt>
                <c:pt idx="205">
                  <c:v>963.35</c:v>
                </c:pt>
                <c:pt idx="206">
                  <c:v>968.15</c:v>
                </c:pt>
                <c:pt idx="207">
                  <c:v>972.94</c:v>
                </c:pt>
                <c:pt idx="208">
                  <c:v>977.73</c:v>
                </c:pt>
                <c:pt idx="209">
                  <c:v>982.52</c:v>
                </c:pt>
                <c:pt idx="210">
                  <c:v>987.32</c:v>
                </c:pt>
                <c:pt idx="211">
                  <c:v>992.11</c:v>
                </c:pt>
                <c:pt idx="212">
                  <c:v>996.9</c:v>
                </c:pt>
                <c:pt idx="213">
                  <c:v>1001.7</c:v>
                </c:pt>
                <c:pt idx="214">
                  <c:v>1006.49</c:v>
                </c:pt>
                <c:pt idx="215">
                  <c:v>1011.28</c:v>
                </c:pt>
                <c:pt idx="216">
                  <c:v>1016.07</c:v>
                </c:pt>
                <c:pt idx="217">
                  <c:v>1020.87</c:v>
                </c:pt>
                <c:pt idx="218">
                  <c:v>1025.6600000000001</c:v>
                </c:pt>
                <c:pt idx="219">
                  <c:v>1030.45</c:v>
                </c:pt>
                <c:pt idx="220">
                  <c:v>1035.24</c:v>
                </c:pt>
                <c:pt idx="221">
                  <c:v>1040.04</c:v>
                </c:pt>
                <c:pt idx="222">
                  <c:v>1044.83</c:v>
                </c:pt>
                <c:pt idx="223">
                  <c:v>1049.6199999999999</c:v>
                </c:pt>
                <c:pt idx="224">
                  <c:v>1054.42</c:v>
                </c:pt>
                <c:pt idx="225">
                  <c:v>1059.21</c:v>
                </c:pt>
                <c:pt idx="226">
                  <c:v>1064</c:v>
                </c:pt>
                <c:pt idx="227">
                  <c:v>1068.79</c:v>
                </c:pt>
                <c:pt idx="228">
                  <c:v>1073.5899999999999</c:v>
                </c:pt>
                <c:pt idx="229">
                  <c:v>1078.3800000000001</c:v>
                </c:pt>
                <c:pt idx="230">
                  <c:v>1083.17</c:v>
                </c:pt>
                <c:pt idx="231">
                  <c:v>1087.97</c:v>
                </c:pt>
                <c:pt idx="232">
                  <c:v>1092.76</c:v>
                </c:pt>
                <c:pt idx="233">
                  <c:v>1097.55</c:v>
                </c:pt>
                <c:pt idx="234">
                  <c:v>1102.3399999999999</c:v>
                </c:pt>
                <c:pt idx="235">
                  <c:v>1107.1400000000001</c:v>
                </c:pt>
                <c:pt idx="236">
                  <c:v>1111.93</c:v>
                </c:pt>
                <c:pt idx="237">
                  <c:v>1116.72</c:v>
                </c:pt>
                <c:pt idx="238">
                  <c:v>1121.52</c:v>
                </c:pt>
                <c:pt idx="239">
                  <c:v>1126.31</c:v>
                </c:pt>
                <c:pt idx="240">
                  <c:v>1131.0999999999999</c:v>
                </c:pt>
                <c:pt idx="241">
                  <c:v>1135.8900000000001</c:v>
                </c:pt>
                <c:pt idx="242">
                  <c:v>1140.69</c:v>
                </c:pt>
                <c:pt idx="243">
                  <c:v>1145.48</c:v>
                </c:pt>
                <c:pt idx="244">
                  <c:v>1150.27</c:v>
                </c:pt>
                <c:pt idx="245">
                  <c:v>1155.06</c:v>
                </c:pt>
                <c:pt idx="246">
                  <c:v>1159.8599999999999</c:v>
                </c:pt>
                <c:pt idx="247">
                  <c:v>1164.6500000000001</c:v>
                </c:pt>
                <c:pt idx="248">
                  <c:v>1169.44</c:v>
                </c:pt>
                <c:pt idx="249">
                  <c:v>1174.24</c:v>
                </c:pt>
                <c:pt idx="250">
                  <c:v>1179.03</c:v>
                </c:pt>
                <c:pt idx="251">
                  <c:v>1183.82</c:v>
                </c:pt>
                <c:pt idx="252">
                  <c:v>1188.6099999999999</c:v>
                </c:pt>
                <c:pt idx="253">
                  <c:v>1193.4100000000001</c:v>
                </c:pt>
                <c:pt idx="254">
                  <c:v>1198.2</c:v>
                </c:pt>
                <c:pt idx="255">
                  <c:v>1202.99</c:v>
                </c:pt>
                <c:pt idx="256">
                  <c:v>1207.79</c:v>
                </c:pt>
                <c:pt idx="257">
                  <c:v>1212.58</c:v>
                </c:pt>
                <c:pt idx="258">
                  <c:v>1217.3699999999999</c:v>
                </c:pt>
                <c:pt idx="259">
                  <c:v>1222.1600000000001</c:v>
                </c:pt>
                <c:pt idx="260">
                  <c:v>1226.96</c:v>
                </c:pt>
                <c:pt idx="261">
                  <c:v>1231.75</c:v>
                </c:pt>
                <c:pt idx="262">
                  <c:v>1236.54</c:v>
                </c:pt>
                <c:pt idx="263">
                  <c:v>1241.3399999999999</c:v>
                </c:pt>
                <c:pt idx="264">
                  <c:v>1246.1300000000001</c:v>
                </c:pt>
                <c:pt idx="265">
                  <c:v>1250.92</c:v>
                </c:pt>
                <c:pt idx="266">
                  <c:v>1255.71</c:v>
                </c:pt>
                <c:pt idx="267">
                  <c:v>1260.51</c:v>
                </c:pt>
                <c:pt idx="268">
                  <c:v>1265.3</c:v>
                </c:pt>
                <c:pt idx="269">
                  <c:v>1270.0899999999999</c:v>
                </c:pt>
                <c:pt idx="270">
                  <c:v>1274.8800000000001</c:v>
                </c:pt>
                <c:pt idx="271">
                  <c:v>1279.68</c:v>
                </c:pt>
                <c:pt idx="272">
                  <c:v>1284.47</c:v>
                </c:pt>
                <c:pt idx="273">
                  <c:v>1289.26</c:v>
                </c:pt>
                <c:pt idx="274">
                  <c:v>1294.06</c:v>
                </c:pt>
                <c:pt idx="275">
                  <c:v>1298.8499999999999</c:v>
                </c:pt>
                <c:pt idx="276">
                  <c:v>1303.6400000000001</c:v>
                </c:pt>
                <c:pt idx="277">
                  <c:v>1308.43</c:v>
                </c:pt>
                <c:pt idx="278">
                  <c:v>1313.23</c:v>
                </c:pt>
                <c:pt idx="279">
                  <c:v>1318.02</c:v>
                </c:pt>
                <c:pt idx="280">
                  <c:v>1322.81</c:v>
                </c:pt>
                <c:pt idx="281">
                  <c:v>1327.61</c:v>
                </c:pt>
                <c:pt idx="282">
                  <c:v>1332.4</c:v>
                </c:pt>
                <c:pt idx="283">
                  <c:v>1337.19</c:v>
                </c:pt>
                <c:pt idx="284">
                  <c:v>1341.98</c:v>
                </c:pt>
                <c:pt idx="285">
                  <c:v>1346.78</c:v>
                </c:pt>
                <c:pt idx="286">
                  <c:v>1351.57</c:v>
                </c:pt>
                <c:pt idx="287">
                  <c:v>1356.36</c:v>
                </c:pt>
                <c:pt idx="288">
                  <c:v>1361.16</c:v>
                </c:pt>
                <c:pt idx="289">
                  <c:v>1365.95</c:v>
                </c:pt>
                <c:pt idx="290">
                  <c:v>1370.74</c:v>
                </c:pt>
                <c:pt idx="291">
                  <c:v>1375.53</c:v>
                </c:pt>
                <c:pt idx="292">
                  <c:v>1380.33</c:v>
                </c:pt>
                <c:pt idx="293">
                  <c:v>1385.12</c:v>
                </c:pt>
                <c:pt idx="294">
                  <c:v>1389.91</c:v>
                </c:pt>
                <c:pt idx="295">
                  <c:v>1394.7</c:v>
                </c:pt>
                <c:pt idx="296">
                  <c:v>1399.5</c:v>
                </c:pt>
                <c:pt idx="297">
                  <c:v>1404.29</c:v>
                </c:pt>
                <c:pt idx="298">
                  <c:v>1409.08</c:v>
                </c:pt>
                <c:pt idx="299">
                  <c:v>1413.88</c:v>
                </c:pt>
                <c:pt idx="300">
                  <c:v>1418.67</c:v>
                </c:pt>
                <c:pt idx="301">
                  <c:v>1423.46</c:v>
                </c:pt>
                <c:pt idx="302" formatCode="General">
                  <c:v>1428.25</c:v>
                </c:pt>
              </c:numCache>
            </c:numRef>
          </c:xVal>
          <c:yVal>
            <c:numRef>
              <c:f>Calc!$C$2:$C$304</c:f>
              <c:numCache>
                <c:formatCode>_(* #,##0.00_);_(* \(#,##0.00\);_(* "-"??_);_(@_)</c:formatCode>
                <c:ptCount val="303"/>
                <c:pt idx="0">
                  <c:v>-51000</c:v>
                </c:pt>
                <c:pt idx="1">
                  <c:v>-50281.5</c:v>
                </c:pt>
                <c:pt idx="2">
                  <c:v>-49561.5</c:v>
                </c:pt>
                <c:pt idx="3">
                  <c:v>-48843</c:v>
                </c:pt>
                <c:pt idx="4">
                  <c:v>-48124.5</c:v>
                </c:pt>
                <c:pt idx="5">
                  <c:v>-47406</c:v>
                </c:pt>
                <c:pt idx="6">
                  <c:v>-46686</c:v>
                </c:pt>
                <c:pt idx="7">
                  <c:v>-45967.5</c:v>
                </c:pt>
                <c:pt idx="8">
                  <c:v>-45249</c:v>
                </c:pt>
                <c:pt idx="9">
                  <c:v>-44529</c:v>
                </c:pt>
                <c:pt idx="10">
                  <c:v>-43810.5</c:v>
                </c:pt>
                <c:pt idx="11">
                  <c:v>-43092</c:v>
                </c:pt>
                <c:pt idx="12">
                  <c:v>-42373.5</c:v>
                </c:pt>
                <c:pt idx="13">
                  <c:v>-41653.5</c:v>
                </c:pt>
                <c:pt idx="14">
                  <c:v>-40935</c:v>
                </c:pt>
                <c:pt idx="15">
                  <c:v>-40216.5</c:v>
                </c:pt>
                <c:pt idx="16">
                  <c:v>-39498</c:v>
                </c:pt>
                <c:pt idx="17">
                  <c:v>-38778</c:v>
                </c:pt>
                <c:pt idx="18">
                  <c:v>-38059.5</c:v>
                </c:pt>
                <c:pt idx="19">
                  <c:v>-37341</c:v>
                </c:pt>
                <c:pt idx="20">
                  <c:v>-36621</c:v>
                </c:pt>
                <c:pt idx="21">
                  <c:v>-35902.5</c:v>
                </c:pt>
                <c:pt idx="22">
                  <c:v>-35184</c:v>
                </c:pt>
                <c:pt idx="23">
                  <c:v>-34465.5</c:v>
                </c:pt>
                <c:pt idx="24">
                  <c:v>-33745.5</c:v>
                </c:pt>
                <c:pt idx="25">
                  <c:v>-33027</c:v>
                </c:pt>
                <c:pt idx="26">
                  <c:v>-32308.5</c:v>
                </c:pt>
                <c:pt idx="27">
                  <c:v>-31588.5</c:v>
                </c:pt>
                <c:pt idx="28">
                  <c:v>-30870</c:v>
                </c:pt>
                <c:pt idx="29">
                  <c:v>-30151.5</c:v>
                </c:pt>
                <c:pt idx="30">
                  <c:v>-29433</c:v>
                </c:pt>
                <c:pt idx="31">
                  <c:v>-28712.999999999996</c:v>
                </c:pt>
                <c:pt idx="32">
                  <c:v>-27994.5</c:v>
                </c:pt>
                <c:pt idx="33">
                  <c:v>-27276</c:v>
                </c:pt>
                <c:pt idx="34">
                  <c:v>-26556</c:v>
                </c:pt>
                <c:pt idx="35">
                  <c:v>-25837.5</c:v>
                </c:pt>
                <c:pt idx="36">
                  <c:v>-25119</c:v>
                </c:pt>
                <c:pt idx="37">
                  <c:v>-24400.499999999996</c:v>
                </c:pt>
                <c:pt idx="38">
                  <c:v>-23680.5</c:v>
                </c:pt>
                <c:pt idx="39">
                  <c:v>-22962.000000000004</c:v>
                </c:pt>
                <c:pt idx="40">
                  <c:v>-22243.5</c:v>
                </c:pt>
                <c:pt idx="41">
                  <c:v>-21525</c:v>
                </c:pt>
                <c:pt idx="42">
                  <c:v>-20805</c:v>
                </c:pt>
                <c:pt idx="43">
                  <c:v>-20086.5</c:v>
                </c:pt>
                <c:pt idx="44">
                  <c:v>-19368</c:v>
                </c:pt>
                <c:pt idx="45">
                  <c:v>-18648</c:v>
                </c:pt>
                <c:pt idx="46">
                  <c:v>-17929.5</c:v>
                </c:pt>
                <c:pt idx="47">
                  <c:v>-17211</c:v>
                </c:pt>
                <c:pt idx="48">
                  <c:v>-16492.5</c:v>
                </c:pt>
                <c:pt idx="49">
                  <c:v>-15772.5</c:v>
                </c:pt>
                <c:pt idx="50">
                  <c:v>-15054.000000000002</c:v>
                </c:pt>
                <c:pt idx="51">
                  <c:v>-14335.499999999998</c:v>
                </c:pt>
                <c:pt idx="52">
                  <c:v>-13615.500000000002</c:v>
                </c:pt>
                <c:pt idx="53">
                  <c:v>-12896.999999999998</c:v>
                </c:pt>
                <c:pt idx="54">
                  <c:v>-12178.5</c:v>
                </c:pt>
                <c:pt idx="55">
                  <c:v>-11459.999999999996</c:v>
                </c:pt>
                <c:pt idx="56">
                  <c:v>-10740.000000000004</c:v>
                </c:pt>
                <c:pt idx="57">
                  <c:v>-10021.5</c:v>
                </c:pt>
                <c:pt idx="58">
                  <c:v>-9302.9999999999964</c:v>
                </c:pt>
                <c:pt idx="59">
                  <c:v>-8583.0000000000036</c:v>
                </c:pt>
                <c:pt idx="60">
                  <c:v>-7864.5000000000009</c:v>
                </c:pt>
                <c:pt idx="61">
                  <c:v>-7145.9999999999982</c:v>
                </c:pt>
                <c:pt idx="62">
                  <c:v>-6427.5000000000036</c:v>
                </c:pt>
                <c:pt idx="63">
                  <c:v>-5707.5000000000018</c:v>
                </c:pt>
                <c:pt idx="64">
                  <c:v>-4988.9999999999982</c:v>
                </c:pt>
                <c:pt idx="65">
                  <c:v>-4270.5000000000036</c:v>
                </c:pt>
                <c:pt idx="66">
                  <c:v>-3552.0000000000009</c:v>
                </c:pt>
                <c:pt idx="67">
                  <c:v>-2831.9999999999991</c:v>
                </c:pt>
                <c:pt idx="68">
                  <c:v>-2113.4999999999964</c:v>
                </c:pt>
                <c:pt idx="69">
                  <c:v>-1395.0000000000018</c:v>
                </c:pt>
                <c:pt idx="70">
                  <c:v>-675</c:v>
                </c:pt>
                <c:pt idx="71">
                  <c:v>43.50000000000307</c:v>
                </c:pt>
                <c:pt idx="72">
                  <c:v>761.99999999999761</c:v>
                </c:pt>
                <c:pt idx="73">
                  <c:v>1480.5000000000007</c:v>
                </c:pt>
                <c:pt idx="74">
                  <c:v>2200.5000000000023</c:v>
                </c:pt>
                <c:pt idx="75">
                  <c:v>2918.9999999999968</c:v>
                </c:pt>
                <c:pt idx="76">
                  <c:v>3637.5</c:v>
                </c:pt>
                <c:pt idx="77">
                  <c:v>4357.5000000000018</c:v>
                </c:pt>
                <c:pt idx="78">
                  <c:v>5075.9999999999964</c:v>
                </c:pt>
                <c:pt idx="79">
                  <c:v>5794.4999999999991</c:v>
                </c:pt>
                <c:pt idx="80">
                  <c:v>6513.0000000000027</c:v>
                </c:pt>
                <c:pt idx="81">
                  <c:v>7233.0000000000036</c:v>
                </c:pt>
                <c:pt idx="82">
                  <c:v>7951.4999999999982</c:v>
                </c:pt>
                <c:pt idx="83">
                  <c:v>8670.0000000000018</c:v>
                </c:pt>
                <c:pt idx="84">
                  <c:v>9000</c:v>
                </c:pt>
                <c:pt idx="85">
                  <c:v>9390.0000000000036</c:v>
                </c:pt>
                <c:pt idx="86">
                  <c:v>10108.499999999998</c:v>
                </c:pt>
                <c:pt idx="87">
                  <c:v>10827.000000000002</c:v>
                </c:pt>
                <c:pt idx="88">
                  <c:v>11545.500000000004</c:v>
                </c:pt>
                <c:pt idx="89">
                  <c:v>12265.499999999996</c:v>
                </c:pt>
                <c:pt idx="90">
                  <c:v>12984</c:v>
                </c:pt>
                <c:pt idx="91">
                  <c:v>13702.500000000004</c:v>
                </c:pt>
                <c:pt idx="92">
                  <c:v>14420.999999999998</c:v>
                </c:pt>
                <c:pt idx="93">
                  <c:v>15141</c:v>
                </c:pt>
                <c:pt idx="94">
                  <c:v>15859.500000000004</c:v>
                </c:pt>
                <c:pt idx="95">
                  <c:v>16500</c:v>
                </c:pt>
                <c:pt idx="96">
                  <c:v>16577.999999999996</c:v>
                </c:pt>
                <c:pt idx="97">
                  <c:v>17298</c:v>
                </c:pt>
                <c:pt idx="98">
                  <c:v>18016.500000000004</c:v>
                </c:pt>
                <c:pt idx="99">
                  <c:v>18734.999999999996</c:v>
                </c:pt>
                <c:pt idx="100">
                  <c:v>19453.5</c:v>
                </c:pt>
                <c:pt idx="101">
                  <c:v>20173.5</c:v>
                </c:pt>
                <c:pt idx="102">
                  <c:v>20891.999999999996</c:v>
                </c:pt>
                <c:pt idx="103">
                  <c:v>21610.5</c:v>
                </c:pt>
                <c:pt idx="104">
                  <c:v>22330.5</c:v>
                </c:pt>
                <c:pt idx="105">
                  <c:v>23049.000000000004</c:v>
                </c:pt>
                <c:pt idx="106">
                  <c:v>23767.5</c:v>
                </c:pt>
                <c:pt idx="107">
                  <c:v>24000</c:v>
                </c:pt>
                <c:pt idx="108">
                  <c:v>24486</c:v>
                </c:pt>
                <c:pt idx="109">
                  <c:v>25206.000000000004</c:v>
                </c:pt>
                <c:pt idx="110">
                  <c:v>25924.500000000007</c:v>
                </c:pt>
                <c:pt idx="111">
                  <c:v>26643</c:v>
                </c:pt>
                <c:pt idx="112">
                  <c:v>27362.999999999993</c:v>
                </c:pt>
                <c:pt idx="113">
                  <c:v>28081.500000000007</c:v>
                </c:pt>
                <c:pt idx="114">
                  <c:v>28800</c:v>
                </c:pt>
                <c:pt idx="115">
                  <c:v>29518.499999999993</c:v>
                </c:pt>
                <c:pt idx="116">
                  <c:v>30238.500000000004</c:v>
                </c:pt>
                <c:pt idx="117">
                  <c:v>30957</c:v>
                </c:pt>
                <c:pt idx="118">
                  <c:v>31500</c:v>
                </c:pt>
                <c:pt idx="119">
                  <c:v>31675.499999999993</c:v>
                </c:pt>
                <c:pt idx="120">
                  <c:v>32394.000000000007</c:v>
                </c:pt>
                <c:pt idx="121">
                  <c:v>33114</c:v>
                </c:pt>
                <c:pt idx="122">
                  <c:v>33832.499999999993</c:v>
                </c:pt>
                <c:pt idx="123">
                  <c:v>34551.000000000007</c:v>
                </c:pt>
                <c:pt idx="124">
                  <c:v>35271</c:v>
                </c:pt>
                <c:pt idx="125">
                  <c:v>35989.499999999993</c:v>
                </c:pt>
                <c:pt idx="126">
                  <c:v>36708.000000000007</c:v>
                </c:pt>
                <c:pt idx="127">
                  <c:v>37426.5</c:v>
                </c:pt>
                <c:pt idx="128">
                  <c:v>38146.499999999993</c:v>
                </c:pt>
                <c:pt idx="129">
                  <c:v>38865</c:v>
                </c:pt>
                <c:pt idx="130">
                  <c:v>39583.5</c:v>
                </c:pt>
                <c:pt idx="131">
                  <c:v>40303.500000000007</c:v>
                </c:pt>
                <c:pt idx="132">
                  <c:v>41022</c:v>
                </c:pt>
                <c:pt idx="133">
                  <c:v>41740.5</c:v>
                </c:pt>
                <c:pt idx="134">
                  <c:v>42458.999999999993</c:v>
                </c:pt>
                <c:pt idx="135">
                  <c:v>43179</c:v>
                </c:pt>
                <c:pt idx="136">
                  <c:v>43897.5</c:v>
                </c:pt>
                <c:pt idx="137">
                  <c:v>44616.000000000007</c:v>
                </c:pt>
                <c:pt idx="138">
                  <c:v>45336</c:v>
                </c:pt>
                <c:pt idx="139">
                  <c:v>46054.499999999993</c:v>
                </c:pt>
                <c:pt idx="140">
                  <c:v>46773.000000000007</c:v>
                </c:pt>
                <c:pt idx="141">
                  <c:v>47491.5</c:v>
                </c:pt>
                <c:pt idx="142">
                  <c:v>48211.499999999993</c:v>
                </c:pt>
                <c:pt idx="143">
                  <c:v>48930.000000000007</c:v>
                </c:pt>
                <c:pt idx="144">
                  <c:v>49648.5</c:v>
                </c:pt>
                <c:pt idx="145">
                  <c:v>50366.999999999993</c:v>
                </c:pt>
                <c:pt idx="146">
                  <c:v>51087.000000000007</c:v>
                </c:pt>
                <c:pt idx="147">
                  <c:v>51805.5</c:v>
                </c:pt>
                <c:pt idx="148">
                  <c:v>52523.999999999993</c:v>
                </c:pt>
                <c:pt idx="149">
                  <c:v>53244.000000000007</c:v>
                </c:pt>
                <c:pt idx="150">
                  <c:v>53962.5</c:v>
                </c:pt>
                <c:pt idx="151">
                  <c:v>54680.999999999993</c:v>
                </c:pt>
                <c:pt idx="152">
                  <c:v>55399.500000000007</c:v>
                </c:pt>
                <c:pt idx="153">
                  <c:v>56119.5</c:v>
                </c:pt>
                <c:pt idx="154">
                  <c:v>56837.999999999993</c:v>
                </c:pt>
                <c:pt idx="155">
                  <c:v>57556.500000000007</c:v>
                </c:pt>
                <c:pt idx="156">
                  <c:v>58276.5</c:v>
                </c:pt>
                <c:pt idx="157">
                  <c:v>58994.999999999993</c:v>
                </c:pt>
                <c:pt idx="158">
                  <c:v>59713.500000000007</c:v>
                </c:pt>
                <c:pt idx="159">
                  <c:v>60432</c:v>
                </c:pt>
                <c:pt idx="160">
                  <c:v>61151.999999999993</c:v>
                </c:pt>
                <c:pt idx="161">
                  <c:v>61870.500000000007</c:v>
                </c:pt>
                <c:pt idx="162">
                  <c:v>62589</c:v>
                </c:pt>
                <c:pt idx="163">
                  <c:v>63308.999999999993</c:v>
                </c:pt>
                <c:pt idx="164">
                  <c:v>64027.5</c:v>
                </c:pt>
                <c:pt idx="165">
                  <c:v>64746</c:v>
                </c:pt>
                <c:pt idx="166">
                  <c:v>65464.499999999993</c:v>
                </c:pt>
                <c:pt idx="167">
                  <c:v>66184.5</c:v>
                </c:pt>
                <c:pt idx="168">
                  <c:v>66903</c:v>
                </c:pt>
                <c:pt idx="169">
                  <c:v>67621.499999999985</c:v>
                </c:pt>
                <c:pt idx="170">
                  <c:v>68340</c:v>
                </c:pt>
                <c:pt idx="171">
                  <c:v>69060</c:v>
                </c:pt>
                <c:pt idx="172">
                  <c:v>69778.500000000015</c:v>
                </c:pt>
                <c:pt idx="173">
                  <c:v>70497</c:v>
                </c:pt>
                <c:pt idx="174">
                  <c:v>71217</c:v>
                </c:pt>
                <c:pt idx="175">
                  <c:v>71935.500000000015</c:v>
                </c:pt>
                <c:pt idx="176">
                  <c:v>72654</c:v>
                </c:pt>
                <c:pt idx="177">
                  <c:v>73372.5</c:v>
                </c:pt>
                <c:pt idx="178">
                  <c:v>74092.5</c:v>
                </c:pt>
                <c:pt idx="179">
                  <c:v>74811</c:v>
                </c:pt>
                <c:pt idx="180">
                  <c:v>75529.5</c:v>
                </c:pt>
                <c:pt idx="181">
                  <c:v>76249.5</c:v>
                </c:pt>
                <c:pt idx="182">
                  <c:v>76968</c:v>
                </c:pt>
                <c:pt idx="183">
                  <c:v>77686.5</c:v>
                </c:pt>
                <c:pt idx="184">
                  <c:v>78405</c:v>
                </c:pt>
                <c:pt idx="185">
                  <c:v>79125</c:v>
                </c:pt>
                <c:pt idx="186">
                  <c:v>79843.5</c:v>
                </c:pt>
                <c:pt idx="187">
                  <c:v>80562</c:v>
                </c:pt>
                <c:pt idx="188">
                  <c:v>81282</c:v>
                </c:pt>
                <c:pt idx="189">
                  <c:v>82000.5</c:v>
                </c:pt>
                <c:pt idx="190">
                  <c:v>82719</c:v>
                </c:pt>
                <c:pt idx="191">
                  <c:v>83437.5</c:v>
                </c:pt>
                <c:pt idx="192">
                  <c:v>84157.5</c:v>
                </c:pt>
                <c:pt idx="193">
                  <c:v>84876</c:v>
                </c:pt>
                <c:pt idx="194">
                  <c:v>85594.5</c:v>
                </c:pt>
                <c:pt idx="195">
                  <c:v>86313</c:v>
                </c:pt>
                <c:pt idx="196">
                  <c:v>87033</c:v>
                </c:pt>
                <c:pt idx="197">
                  <c:v>87751.5</c:v>
                </c:pt>
                <c:pt idx="198">
                  <c:v>88470</c:v>
                </c:pt>
                <c:pt idx="199">
                  <c:v>89190</c:v>
                </c:pt>
                <c:pt idx="200">
                  <c:v>89908.5</c:v>
                </c:pt>
                <c:pt idx="201">
                  <c:v>90626.999999999985</c:v>
                </c:pt>
                <c:pt idx="202">
                  <c:v>91345.5</c:v>
                </c:pt>
                <c:pt idx="203">
                  <c:v>92065.5</c:v>
                </c:pt>
                <c:pt idx="204">
                  <c:v>92783.999999999985</c:v>
                </c:pt>
                <c:pt idx="205">
                  <c:v>93502.5</c:v>
                </c:pt>
                <c:pt idx="206">
                  <c:v>94222.5</c:v>
                </c:pt>
                <c:pt idx="207">
                  <c:v>94941.000000000015</c:v>
                </c:pt>
                <c:pt idx="208">
                  <c:v>95659.5</c:v>
                </c:pt>
                <c:pt idx="209">
                  <c:v>96378</c:v>
                </c:pt>
                <c:pt idx="210">
                  <c:v>97098.000000000015</c:v>
                </c:pt>
                <c:pt idx="211">
                  <c:v>97816.5</c:v>
                </c:pt>
                <c:pt idx="212">
                  <c:v>98535</c:v>
                </c:pt>
                <c:pt idx="213">
                  <c:v>99255</c:v>
                </c:pt>
                <c:pt idx="214">
                  <c:v>99973.5</c:v>
                </c:pt>
                <c:pt idx="215">
                  <c:v>100692</c:v>
                </c:pt>
                <c:pt idx="216">
                  <c:v>101410.50000000001</c:v>
                </c:pt>
                <c:pt idx="217">
                  <c:v>102130.5</c:v>
                </c:pt>
                <c:pt idx="218">
                  <c:v>102849.00000000001</c:v>
                </c:pt>
                <c:pt idx="219">
                  <c:v>103567.5</c:v>
                </c:pt>
                <c:pt idx="220">
                  <c:v>104286</c:v>
                </c:pt>
                <c:pt idx="221">
                  <c:v>105006</c:v>
                </c:pt>
                <c:pt idx="222">
                  <c:v>105724.49999999999</c:v>
                </c:pt>
                <c:pt idx="223">
                  <c:v>106442.99999999999</c:v>
                </c:pt>
                <c:pt idx="224">
                  <c:v>107163.00000000001</c:v>
                </c:pt>
                <c:pt idx="225">
                  <c:v>107881.5</c:v>
                </c:pt>
                <c:pt idx="226">
                  <c:v>108600</c:v>
                </c:pt>
                <c:pt idx="227">
                  <c:v>109318.5</c:v>
                </c:pt>
                <c:pt idx="228">
                  <c:v>110038.49999999999</c:v>
                </c:pt>
                <c:pt idx="229">
                  <c:v>110757.00000000001</c:v>
                </c:pt>
                <c:pt idx="230">
                  <c:v>111475.50000000001</c:v>
                </c:pt>
                <c:pt idx="231">
                  <c:v>112195.5</c:v>
                </c:pt>
                <c:pt idx="232">
                  <c:v>112914</c:v>
                </c:pt>
                <c:pt idx="233">
                  <c:v>113632.5</c:v>
                </c:pt>
                <c:pt idx="234">
                  <c:v>114350.99999999999</c:v>
                </c:pt>
                <c:pt idx="235">
                  <c:v>115071.00000000001</c:v>
                </c:pt>
                <c:pt idx="236">
                  <c:v>115789.50000000001</c:v>
                </c:pt>
                <c:pt idx="237">
                  <c:v>116508</c:v>
                </c:pt>
                <c:pt idx="238">
                  <c:v>117228</c:v>
                </c:pt>
                <c:pt idx="239">
                  <c:v>117946.49999999999</c:v>
                </c:pt>
                <c:pt idx="240">
                  <c:v>118664.99999999999</c:v>
                </c:pt>
                <c:pt idx="241">
                  <c:v>119383.50000000001</c:v>
                </c:pt>
                <c:pt idx="242">
                  <c:v>120103.50000000001</c:v>
                </c:pt>
                <c:pt idx="243">
                  <c:v>120822</c:v>
                </c:pt>
                <c:pt idx="244">
                  <c:v>121540.5</c:v>
                </c:pt>
                <c:pt idx="245">
                  <c:v>122258.99999999999</c:v>
                </c:pt>
                <c:pt idx="246">
                  <c:v>122978.99999999999</c:v>
                </c:pt>
                <c:pt idx="247">
                  <c:v>123697.50000000001</c:v>
                </c:pt>
                <c:pt idx="248">
                  <c:v>124416.00000000001</c:v>
                </c:pt>
                <c:pt idx="249">
                  <c:v>125136</c:v>
                </c:pt>
                <c:pt idx="250">
                  <c:v>125854.5</c:v>
                </c:pt>
                <c:pt idx="251">
                  <c:v>126572.99999999999</c:v>
                </c:pt>
                <c:pt idx="252">
                  <c:v>127291.49999999999</c:v>
                </c:pt>
                <c:pt idx="253">
                  <c:v>128011.50000000001</c:v>
                </c:pt>
                <c:pt idx="254">
                  <c:v>128730</c:v>
                </c:pt>
                <c:pt idx="255">
                  <c:v>129448.5</c:v>
                </c:pt>
                <c:pt idx="256">
                  <c:v>130168.5</c:v>
                </c:pt>
                <c:pt idx="257">
                  <c:v>130886.99999999999</c:v>
                </c:pt>
                <c:pt idx="258">
                  <c:v>131605.49999999997</c:v>
                </c:pt>
                <c:pt idx="259">
                  <c:v>132324</c:v>
                </c:pt>
                <c:pt idx="260">
                  <c:v>133044</c:v>
                </c:pt>
                <c:pt idx="261">
                  <c:v>133762.5</c:v>
                </c:pt>
                <c:pt idx="262">
                  <c:v>134481</c:v>
                </c:pt>
                <c:pt idx="263">
                  <c:v>135201</c:v>
                </c:pt>
                <c:pt idx="264">
                  <c:v>135919.50000000003</c:v>
                </c:pt>
                <c:pt idx="265">
                  <c:v>136638</c:v>
                </c:pt>
                <c:pt idx="266">
                  <c:v>137356.5</c:v>
                </c:pt>
                <c:pt idx="267">
                  <c:v>138076.5</c:v>
                </c:pt>
                <c:pt idx="268">
                  <c:v>138795</c:v>
                </c:pt>
                <c:pt idx="269">
                  <c:v>139513.5</c:v>
                </c:pt>
                <c:pt idx="270">
                  <c:v>140232.00000000003</c:v>
                </c:pt>
                <c:pt idx="271">
                  <c:v>140952</c:v>
                </c:pt>
                <c:pt idx="272">
                  <c:v>141670.5</c:v>
                </c:pt>
                <c:pt idx="273">
                  <c:v>142389</c:v>
                </c:pt>
                <c:pt idx="274">
                  <c:v>143109</c:v>
                </c:pt>
                <c:pt idx="275">
                  <c:v>143827.5</c:v>
                </c:pt>
                <c:pt idx="276">
                  <c:v>144546.00000000003</c:v>
                </c:pt>
                <c:pt idx="277">
                  <c:v>145264.5</c:v>
                </c:pt>
                <c:pt idx="278">
                  <c:v>145984.5</c:v>
                </c:pt>
                <c:pt idx="279">
                  <c:v>146703</c:v>
                </c:pt>
                <c:pt idx="280">
                  <c:v>147421.5</c:v>
                </c:pt>
                <c:pt idx="281">
                  <c:v>148141.49999999997</c:v>
                </c:pt>
                <c:pt idx="282">
                  <c:v>148860</c:v>
                </c:pt>
                <c:pt idx="283">
                  <c:v>149578.5</c:v>
                </c:pt>
                <c:pt idx="284">
                  <c:v>150297</c:v>
                </c:pt>
                <c:pt idx="285">
                  <c:v>151017</c:v>
                </c:pt>
                <c:pt idx="286">
                  <c:v>151735.5</c:v>
                </c:pt>
                <c:pt idx="287">
                  <c:v>152453.99999999997</c:v>
                </c:pt>
                <c:pt idx="288">
                  <c:v>153174</c:v>
                </c:pt>
                <c:pt idx="289">
                  <c:v>153892.5</c:v>
                </c:pt>
                <c:pt idx="290">
                  <c:v>154611</c:v>
                </c:pt>
                <c:pt idx="291">
                  <c:v>155329.5</c:v>
                </c:pt>
                <c:pt idx="292">
                  <c:v>156049.5</c:v>
                </c:pt>
                <c:pt idx="293">
                  <c:v>156767.99999999997</c:v>
                </c:pt>
                <c:pt idx="294">
                  <c:v>157486.5</c:v>
                </c:pt>
                <c:pt idx="295">
                  <c:v>158205</c:v>
                </c:pt>
                <c:pt idx="296">
                  <c:v>158925</c:v>
                </c:pt>
                <c:pt idx="297">
                  <c:v>159643.5</c:v>
                </c:pt>
                <c:pt idx="298">
                  <c:v>160362</c:v>
                </c:pt>
                <c:pt idx="299">
                  <c:v>161082.00000000003</c:v>
                </c:pt>
                <c:pt idx="300">
                  <c:v>161800.5</c:v>
                </c:pt>
                <c:pt idx="301">
                  <c:v>162519</c:v>
                </c:pt>
                <c:pt idx="302" formatCode="General">
                  <c:v>163237.5</c:v>
                </c:pt>
              </c:numCache>
            </c:numRef>
          </c:yVal>
          <c:smooth val="0"/>
          <c:extLst>
            <c:ext xmlns:c16="http://schemas.microsoft.com/office/drawing/2014/chart" uri="{C3380CC4-5D6E-409C-BE32-E72D297353CC}">
              <c16:uniqueId val="{00000001-EDB3-4DB4-A87E-020412D75C18}"/>
            </c:ext>
          </c:extLst>
        </c:ser>
        <c:ser>
          <c:idx val="3"/>
          <c:order val="2"/>
          <c:tx>
            <c:v>Combined</c:v>
          </c:tx>
          <c:spPr>
            <a:ln w="31750" cap="rnd">
              <a:solidFill>
                <a:srgbClr val="7030A0"/>
              </a:solidFill>
              <a:prstDash val="solid"/>
              <a:round/>
            </a:ln>
            <a:effectLst/>
          </c:spPr>
          <c:marker>
            <c:symbol val="none"/>
          </c:marker>
          <c:xVal>
            <c:numRef>
              <c:f>Calc!$A$2:$A$304</c:f>
              <c:numCache>
                <c:formatCode>_(* #,##0.00_);_(* \(#,##0.00\);_(* "-"??_);_(@_)</c:formatCode>
                <c:ptCount val="303"/>
                <c:pt idx="0">
                  <c:v>0</c:v>
                </c:pt>
                <c:pt idx="1">
                  <c:v>4.79</c:v>
                </c:pt>
                <c:pt idx="2">
                  <c:v>9.59</c:v>
                </c:pt>
                <c:pt idx="3">
                  <c:v>14.38</c:v>
                </c:pt>
                <c:pt idx="4">
                  <c:v>19.170000000000002</c:v>
                </c:pt>
                <c:pt idx="5">
                  <c:v>23.96</c:v>
                </c:pt>
                <c:pt idx="6">
                  <c:v>28.76</c:v>
                </c:pt>
                <c:pt idx="7">
                  <c:v>33.549999999999997</c:v>
                </c:pt>
                <c:pt idx="8">
                  <c:v>38.340000000000003</c:v>
                </c:pt>
                <c:pt idx="9">
                  <c:v>43.14</c:v>
                </c:pt>
                <c:pt idx="10">
                  <c:v>47.93</c:v>
                </c:pt>
                <c:pt idx="11">
                  <c:v>52.72</c:v>
                </c:pt>
                <c:pt idx="12">
                  <c:v>57.51</c:v>
                </c:pt>
                <c:pt idx="13">
                  <c:v>62.31</c:v>
                </c:pt>
                <c:pt idx="14">
                  <c:v>67.099999999999994</c:v>
                </c:pt>
                <c:pt idx="15">
                  <c:v>71.89</c:v>
                </c:pt>
                <c:pt idx="16">
                  <c:v>76.680000000000007</c:v>
                </c:pt>
                <c:pt idx="17">
                  <c:v>81.48</c:v>
                </c:pt>
                <c:pt idx="18">
                  <c:v>86.27</c:v>
                </c:pt>
                <c:pt idx="19">
                  <c:v>91.06</c:v>
                </c:pt>
                <c:pt idx="20">
                  <c:v>95.86</c:v>
                </c:pt>
                <c:pt idx="21">
                  <c:v>100.65</c:v>
                </c:pt>
                <c:pt idx="22">
                  <c:v>105.44</c:v>
                </c:pt>
                <c:pt idx="23">
                  <c:v>110.23</c:v>
                </c:pt>
                <c:pt idx="24">
                  <c:v>115.03</c:v>
                </c:pt>
                <c:pt idx="25">
                  <c:v>119.82</c:v>
                </c:pt>
                <c:pt idx="26">
                  <c:v>124.61</c:v>
                </c:pt>
                <c:pt idx="27">
                  <c:v>129.41</c:v>
                </c:pt>
                <c:pt idx="28">
                  <c:v>134.19999999999999</c:v>
                </c:pt>
                <c:pt idx="29">
                  <c:v>138.99</c:v>
                </c:pt>
                <c:pt idx="30">
                  <c:v>143.78</c:v>
                </c:pt>
                <c:pt idx="31">
                  <c:v>148.58000000000001</c:v>
                </c:pt>
                <c:pt idx="32">
                  <c:v>153.37</c:v>
                </c:pt>
                <c:pt idx="33">
                  <c:v>158.16</c:v>
                </c:pt>
                <c:pt idx="34">
                  <c:v>162.96</c:v>
                </c:pt>
                <c:pt idx="35">
                  <c:v>167.75</c:v>
                </c:pt>
                <c:pt idx="36">
                  <c:v>172.54</c:v>
                </c:pt>
                <c:pt idx="37">
                  <c:v>177.33</c:v>
                </c:pt>
                <c:pt idx="38">
                  <c:v>182.13</c:v>
                </c:pt>
                <c:pt idx="39">
                  <c:v>186.92</c:v>
                </c:pt>
                <c:pt idx="40">
                  <c:v>191.71</c:v>
                </c:pt>
                <c:pt idx="41">
                  <c:v>196.5</c:v>
                </c:pt>
                <c:pt idx="42">
                  <c:v>201.3</c:v>
                </c:pt>
                <c:pt idx="43">
                  <c:v>206.09</c:v>
                </c:pt>
                <c:pt idx="44">
                  <c:v>210.88</c:v>
                </c:pt>
                <c:pt idx="45">
                  <c:v>215.68</c:v>
                </c:pt>
                <c:pt idx="46">
                  <c:v>220.47</c:v>
                </c:pt>
                <c:pt idx="47">
                  <c:v>225.26</c:v>
                </c:pt>
                <c:pt idx="48">
                  <c:v>230.05</c:v>
                </c:pt>
                <c:pt idx="49">
                  <c:v>234.85</c:v>
                </c:pt>
                <c:pt idx="50">
                  <c:v>239.64</c:v>
                </c:pt>
                <c:pt idx="51">
                  <c:v>244.43</c:v>
                </c:pt>
                <c:pt idx="52">
                  <c:v>249.23</c:v>
                </c:pt>
                <c:pt idx="53">
                  <c:v>254.02</c:v>
                </c:pt>
                <c:pt idx="54">
                  <c:v>258.81</c:v>
                </c:pt>
                <c:pt idx="55">
                  <c:v>263.60000000000002</c:v>
                </c:pt>
                <c:pt idx="56">
                  <c:v>268.39999999999998</c:v>
                </c:pt>
                <c:pt idx="57">
                  <c:v>273.19</c:v>
                </c:pt>
                <c:pt idx="58">
                  <c:v>277.98</c:v>
                </c:pt>
                <c:pt idx="59">
                  <c:v>282.77999999999997</c:v>
                </c:pt>
                <c:pt idx="60">
                  <c:v>287.57</c:v>
                </c:pt>
                <c:pt idx="61">
                  <c:v>292.36</c:v>
                </c:pt>
                <c:pt idx="62">
                  <c:v>297.14999999999998</c:v>
                </c:pt>
                <c:pt idx="63">
                  <c:v>301.95</c:v>
                </c:pt>
                <c:pt idx="64">
                  <c:v>306.74</c:v>
                </c:pt>
                <c:pt idx="65">
                  <c:v>311.52999999999997</c:v>
                </c:pt>
                <c:pt idx="66">
                  <c:v>316.32</c:v>
                </c:pt>
                <c:pt idx="67">
                  <c:v>321.12</c:v>
                </c:pt>
                <c:pt idx="68">
                  <c:v>325.91000000000003</c:v>
                </c:pt>
                <c:pt idx="69">
                  <c:v>330.7</c:v>
                </c:pt>
                <c:pt idx="70">
                  <c:v>335.5</c:v>
                </c:pt>
                <c:pt idx="71">
                  <c:v>340.29</c:v>
                </c:pt>
                <c:pt idx="72">
                  <c:v>345.08</c:v>
                </c:pt>
                <c:pt idx="73">
                  <c:v>349.87</c:v>
                </c:pt>
                <c:pt idx="74">
                  <c:v>354.67</c:v>
                </c:pt>
                <c:pt idx="75">
                  <c:v>359.46</c:v>
                </c:pt>
                <c:pt idx="76">
                  <c:v>364.25</c:v>
                </c:pt>
                <c:pt idx="77">
                  <c:v>369.05</c:v>
                </c:pt>
                <c:pt idx="78">
                  <c:v>373.84</c:v>
                </c:pt>
                <c:pt idx="79">
                  <c:v>378.63</c:v>
                </c:pt>
                <c:pt idx="80">
                  <c:v>383.42</c:v>
                </c:pt>
                <c:pt idx="81">
                  <c:v>388.22</c:v>
                </c:pt>
                <c:pt idx="82">
                  <c:v>393.01</c:v>
                </c:pt>
                <c:pt idx="83">
                  <c:v>397.8</c:v>
                </c:pt>
                <c:pt idx="84">
                  <c:v>400</c:v>
                </c:pt>
                <c:pt idx="85">
                  <c:v>402.6</c:v>
                </c:pt>
                <c:pt idx="86">
                  <c:v>407.39</c:v>
                </c:pt>
                <c:pt idx="87">
                  <c:v>412.18</c:v>
                </c:pt>
                <c:pt idx="88">
                  <c:v>416.97</c:v>
                </c:pt>
                <c:pt idx="89">
                  <c:v>421.77</c:v>
                </c:pt>
                <c:pt idx="90">
                  <c:v>426.56</c:v>
                </c:pt>
                <c:pt idx="91">
                  <c:v>431.35</c:v>
                </c:pt>
                <c:pt idx="92">
                  <c:v>436.14</c:v>
                </c:pt>
                <c:pt idx="93">
                  <c:v>440.94</c:v>
                </c:pt>
                <c:pt idx="94">
                  <c:v>445.73</c:v>
                </c:pt>
                <c:pt idx="95">
                  <c:v>450</c:v>
                </c:pt>
                <c:pt idx="96">
                  <c:v>450.52</c:v>
                </c:pt>
                <c:pt idx="97">
                  <c:v>455.32</c:v>
                </c:pt>
                <c:pt idx="98">
                  <c:v>460.11</c:v>
                </c:pt>
                <c:pt idx="99">
                  <c:v>464.9</c:v>
                </c:pt>
                <c:pt idx="100">
                  <c:v>469.69</c:v>
                </c:pt>
                <c:pt idx="101">
                  <c:v>474.49</c:v>
                </c:pt>
                <c:pt idx="102">
                  <c:v>479.28</c:v>
                </c:pt>
                <c:pt idx="103">
                  <c:v>484.07</c:v>
                </c:pt>
                <c:pt idx="104">
                  <c:v>488.87</c:v>
                </c:pt>
                <c:pt idx="105">
                  <c:v>493.66</c:v>
                </c:pt>
                <c:pt idx="106">
                  <c:v>498.45</c:v>
                </c:pt>
                <c:pt idx="107">
                  <c:v>500</c:v>
                </c:pt>
                <c:pt idx="108">
                  <c:v>503.24</c:v>
                </c:pt>
                <c:pt idx="109">
                  <c:v>508.04</c:v>
                </c:pt>
                <c:pt idx="110">
                  <c:v>512.83000000000004</c:v>
                </c:pt>
                <c:pt idx="111">
                  <c:v>517.62</c:v>
                </c:pt>
                <c:pt idx="112">
                  <c:v>522.41999999999996</c:v>
                </c:pt>
                <c:pt idx="113">
                  <c:v>527.21</c:v>
                </c:pt>
                <c:pt idx="114">
                  <c:v>532</c:v>
                </c:pt>
                <c:pt idx="115">
                  <c:v>536.79</c:v>
                </c:pt>
                <c:pt idx="116">
                  <c:v>541.59</c:v>
                </c:pt>
                <c:pt idx="117">
                  <c:v>546.38</c:v>
                </c:pt>
                <c:pt idx="118">
                  <c:v>550</c:v>
                </c:pt>
                <c:pt idx="119">
                  <c:v>551.16999999999996</c:v>
                </c:pt>
                <c:pt idx="120">
                  <c:v>555.96</c:v>
                </c:pt>
                <c:pt idx="121">
                  <c:v>560.76</c:v>
                </c:pt>
                <c:pt idx="122">
                  <c:v>565.54999999999995</c:v>
                </c:pt>
                <c:pt idx="123">
                  <c:v>570.34</c:v>
                </c:pt>
                <c:pt idx="124">
                  <c:v>575.14</c:v>
                </c:pt>
                <c:pt idx="125">
                  <c:v>579.92999999999995</c:v>
                </c:pt>
                <c:pt idx="126">
                  <c:v>584.72</c:v>
                </c:pt>
                <c:pt idx="127">
                  <c:v>589.51</c:v>
                </c:pt>
                <c:pt idx="128">
                  <c:v>594.30999999999995</c:v>
                </c:pt>
                <c:pt idx="129">
                  <c:v>599.1</c:v>
                </c:pt>
                <c:pt idx="130">
                  <c:v>603.89</c:v>
                </c:pt>
                <c:pt idx="131">
                  <c:v>608.69000000000005</c:v>
                </c:pt>
                <c:pt idx="132">
                  <c:v>613.48</c:v>
                </c:pt>
                <c:pt idx="133">
                  <c:v>618.27</c:v>
                </c:pt>
                <c:pt idx="134">
                  <c:v>623.05999999999995</c:v>
                </c:pt>
                <c:pt idx="135">
                  <c:v>627.86</c:v>
                </c:pt>
                <c:pt idx="136">
                  <c:v>632.65</c:v>
                </c:pt>
                <c:pt idx="137">
                  <c:v>637.44000000000005</c:v>
                </c:pt>
                <c:pt idx="138">
                  <c:v>642.24</c:v>
                </c:pt>
                <c:pt idx="139">
                  <c:v>647.03</c:v>
                </c:pt>
                <c:pt idx="140">
                  <c:v>651.82000000000005</c:v>
                </c:pt>
                <c:pt idx="141">
                  <c:v>656.61</c:v>
                </c:pt>
                <c:pt idx="142">
                  <c:v>661.41</c:v>
                </c:pt>
                <c:pt idx="143">
                  <c:v>666.2</c:v>
                </c:pt>
                <c:pt idx="144">
                  <c:v>670.99</c:v>
                </c:pt>
                <c:pt idx="145">
                  <c:v>675.78</c:v>
                </c:pt>
                <c:pt idx="146">
                  <c:v>680.58</c:v>
                </c:pt>
                <c:pt idx="147">
                  <c:v>685.37</c:v>
                </c:pt>
                <c:pt idx="148">
                  <c:v>690.16</c:v>
                </c:pt>
                <c:pt idx="149">
                  <c:v>694.96</c:v>
                </c:pt>
                <c:pt idx="150">
                  <c:v>699.75</c:v>
                </c:pt>
                <c:pt idx="151">
                  <c:v>704.54</c:v>
                </c:pt>
                <c:pt idx="152">
                  <c:v>709.33</c:v>
                </c:pt>
                <c:pt idx="153">
                  <c:v>714.13</c:v>
                </c:pt>
                <c:pt idx="154">
                  <c:v>718.92</c:v>
                </c:pt>
                <c:pt idx="155">
                  <c:v>723.71</c:v>
                </c:pt>
                <c:pt idx="156">
                  <c:v>728.51</c:v>
                </c:pt>
                <c:pt idx="157">
                  <c:v>733.3</c:v>
                </c:pt>
                <c:pt idx="158">
                  <c:v>738.09</c:v>
                </c:pt>
                <c:pt idx="159">
                  <c:v>742.88</c:v>
                </c:pt>
                <c:pt idx="160">
                  <c:v>747.68</c:v>
                </c:pt>
                <c:pt idx="161">
                  <c:v>752.47</c:v>
                </c:pt>
                <c:pt idx="162">
                  <c:v>757.26</c:v>
                </c:pt>
                <c:pt idx="163">
                  <c:v>762.06</c:v>
                </c:pt>
                <c:pt idx="164">
                  <c:v>766.85</c:v>
                </c:pt>
                <c:pt idx="165">
                  <c:v>771.64</c:v>
                </c:pt>
                <c:pt idx="166">
                  <c:v>776.43</c:v>
                </c:pt>
                <c:pt idx="167">
                  <c:v>781.23</c:v>
                </c:pt>
                <c:pt idx="168">
                  <c:v>786.02</c:v>
                </c:pt>
                <c:pt idx="169">
                  <c:v>790.81</c:v>
                </c:pt>
                <c:pt idx="170">
                  <c:v>795.6</c:v>
                </c:pt>
                <c:pt idx="171">
                  <c:v>800.4</c:v>
                </c:pt>
                <c:pt idx="172">
                  <c:v>805.19</c:v>
                </c:pt>
                <c:pt idx="173">
                  <c:v>809.98</c:v>
                </c:pt>
                <c:pt idx="174">
                  <c:v>814.78</c:v>
                </c:pt>
                <c:pt idx="175">
                  <c:v>819.57</c:v>
                </c:pt>
                <c:pt idx="176">
                  <c:v>824.36</c:v>
                </c:pt>
                <c:pt idx="177">
                  <c:v>829.15</c:v>
                </c:pt>
                <c:pt idx="178">
                  <c:v>833.95</c:v>
                </c:pt>
                <c:pt idx="179">
                  <c:v>838.74</c:v>
                </c:pt>
                <c:pt idx="180">
                  <c:v>843.53</c:v>
                </c:pt>
                <c:pt idx="181">
                  <c:v>848.33</c:v>
                </c:pt>
                <c:pt idx="182">
                  <c:v>853.12</c:v>
                </c:pt>
                <c:pt idx="183">
                  <c:v>857.91</c:v>
                </c:pt>
                <c:pt idx="184">
                  <c:v>862.7</c:v>
                </c:pt>
                <c:pt idx="185">
                  <c:v>867.5</c:v>
                </c:pt>
                <c:pt idx="186">
                  <c:v>872.29</c:v>
                </c:pt>
                <c:pt idx="187">
                  <c:v>877.08</c:v>
                </c:pt>
                <c:pt idx="188">
                  <c:v>881.88</c:v>
                </c:pt>
                <c:pt idx="189">
                  <c:v>886.67</c:v>
                </c:pt>
                <c:pt idx="190">
                  <c:v>891.46</c:v>
                </c:pt>
                <c:pt idx="191">
                  <c:v>896.25</c:v>
                </c:pt>
                <c:pt idx="192">
                  <c:v>901.05</c:v>
                </c:pt>
                <c:pt idx="193">
                  <c:v>905.84</c:v>
                </c:pt>
                <c:pt idx="194">
                  <c:v>910.63</c:v>
                </c:pt>
                <c:pt idx="195">
                  <c:v>915.42</c:v>
                </c:pt>
                <c:pt idx="196">
                  <c:v>920.22</c:v>
                </c:pt>
                <c:pt idx="197">
                  <c:v>925.01</c:v>
                </c:pt>
                <c:pt idx="198">
                  <c:v>929.8</c:v>
                </c:pt>
                <c:pt idx="199">
                  <c:v>934.6</c:v>
                </c:pt>
                <c:pt idx="200">
                  <c:v>939.39</c:v>
                </c:pt>
                <c:pt idx="201">
                  <c:v>944.18</c:v>
                </c:pt>
                <c:pt idx="202">
                  <c:v>948.97</c:v>
                </c:pt>
                <c:pt idx="203">
                  <c:v>953.77</c:v>
                </c:pt>
                <c:pt idx="204">
                  <c:v>958.56</c:v>
                </c:pt>
                <c:pt idx="205">
                  <c:v>963.35</c:v>
                </c:pt>
                <c:pt idx="206">
                  <c:v>968.15</c:v>
                </c:pt>
                <c:pt idx="207">
                  <c:v>972.94</c:v>
                </c:pt>
                <c:pt idx="208">
                  <c:v>977.73</c:v>
                </c:pt>
                <c:pt idx="209">
                  <c:v>982.52</c:v>
                </c:pt>
                <c:pt idx="210">
                  <c:v>987.32</c:v>
                </c:pt>
                <c:pt idx="211">
                  <c:v>992.11</c:v>
                </c:pt>
                <c:pt idx="212">
                  <c:v>996.9</c:v>
                </c:pt>
                <c:pt idx="213">
                  <c:v>1001.7</c:v>
                </c:pt>
                <c:pt idx="214">
                  <c:v>1006.49</c:v>
                </c:pt>
                <c:pt idx="215">
                  <c:v>1011.28</c:v>
                </c:pt>
                <c:pt idx="216">
                  <c:v>1016.07</c:v>
                </c:pt>
                <c:pt idx="217">
                  <c:v>1020.87</c:v>
                </c:pt>
                <c:pt idx="218">
                  <c:v>1025.6600000000001</c:v>
                </c:pt>
                <c:pt idx="219">
                  <c:v>1030.45</c:v>
                </c:pt>
                <c:pt idx="220">
                  <c:v>1035.24</c:v>
                </c:pt>
                <c:pt idx="221">
                  <c:v>1040.04</c:v>
                </c:pt>
                <c:pt idx="222">
                  <c:v>1044.83</c:v>
                </c:pt>
                <c:pt idx="223">
                  <c:v>1049.6199999999999</c:v>
                </c:pt>
                <c:pt idx="224">
                  <c:v>1054.42</c:v>
                </c:pt>
                <c:pt idx="225">
                  <c:v>1059.21</c:v>
                </c:pt>
                <c:pt idx="226">
                  <c:v>1064</c:v>
                </c:pt>
                <c:pt idx="227">
                  <c:v>1068.79</c:v>
                </c:pt>
                <c:pt idx="228">
                  <c:v>1073.5899999999999</c:v>
                </c:pt>
                <c:pt idx="229">
                  <c:v>1078.3800000000001</c:v>
                </c:pt>
                <c:pt idx="230">
                  <c:v>1083.17</c:v>
                </c:pt>
                <c:pt idx="231">
                  <c:v>1087.97</c:v>
                </c:pt>
                <c:pt idx="232">
                  <c:v>1092.76</c:v>
                </c:pt>
                <c:pt idx="233">
                  <c:v>1097.55</c:v>
                </c:pt>
                <c:pt idx="234">
                  <c:v>1102.3399999999999</c:v>
                </c:pt>
                <c:pt idx="235">
                  <c:v>1107.1400000000001</c:v>
                </c:pt>
                <c:pt idx="236">
                  <c:v>1111.93</c:v>
                </c:pt>
                <c:pt idx="237">
                  <c:v>1116.72</c:v>
                </c:pt>
                <c:pt idx="238">
                  <c:v>1121.52</c:v>
                </c:pt>
                <c:pt idx="239">
                  <c:v>1126.31</c:v>
                </c:pt>
                <c:pt idx="240">
                  <c:v>1131.0999999999999</c:v>
                </c:pt>
                <c:pt idx="241">
                  <c:v>1135.8900000000001</c:v>
                </c:pt>
                <c:pt idx="242">
                  <c:v>1140.69</c:v>
                </c:pt>
                <c:pt idx="243">
                  <c:v>1145.48</c:v>
                </c:pt>
                <c:pt idx="244">
                  <c:v>1150.27</c:v>
                </c:pt>
                <c:pt idx="245">
                  <c:v>1155.06</c:v>
                </c:pt>
                <c:pt idx="246">
                  <c:v>1159.8599999999999</c:v>
                </c:pt>
                <c:pt idx="247">
                  <c:v>1164.6500000000001</c:v>
                </c:pt>
                <c:pt idx="248">
                  <c:v>1169.44</c:v>
                </c:pt>
                <c:pt idx="249">
                  <c:v>1174.24</c:v>
                </c:pt>
                <c:pt idx="250">
                  <c:v>1179.03</c:v>
                </c:pt>
                <c:pt idx="251">
                  <c:v>1183.82</c:v>
                </c:pt>
                <c:pt idx="252">
                  <c:v>1188.6099999999999</c:v>
                </c:pt>
                <c:pt idx="253">
                  <c:v>1193.4100000000001</c:v>
                </c:pt>
                <c:pt idx="254">
                  <c:v>1198.2</c:v>
                </c:pt>
                <c:pt idx="255">
                  <c:v>1202.99</c:v>
                </c:pt>
                <c:pt idx="256">
                  <c:v>1207.79</c:v>
                </c:pt>
                <c:pt idx="257">
                  <c:v>1212.58</c:v>
                </c:pt>
                <c:pt idx="258">
                  <c:v>1217.3699999999999</c:v>
                </c:pt>
                <c:pt idx="259">
                  <c:v>1222.1600000000001</c:v>
                </c:pt>
                <c:pt idx="260">
                  <c:v>1226.96</c:v>
                </c:pt>
                <c:pt idx="261">
                  <c:v>1231.75</c:v>
                </c:pt>
                <c:pt idx="262">
                  <c:v>1236.54</c:v>
                </c:pt>
                <c:pt idx="263">
                  <c:v>1241.3399999999999</c:v>
                </c:pt>
                <c:pt idx="264">
                  <c:v>1246.1300000000001</c:v>
                </c:pt>
                <c:pt idx="265">
                  <c:v>1250.92</c:v>
                </c:pt>
                <c:pt idx="266">
                  <c:v>1255.71</c:v>
                </c:pt>
                <c:pt idx="267">
                  <c:v>1260.51</c:v>
                </c:pt>
                <c:pt idx="268">
                  <c:v>1265.3</c:v>
                </c:pt>
                <c:pt idx="269">
                  <c:v>1270.0899999999999</c:v>
                </c:pt>
                <c:pt idx="270">
                  <c:v>1274.8800000000001</c:v>
                </c:pt>
                <c:pt idx="271">
                  <c:v>1279.68</c:v>
                </c:pt>
                <c:pt idx="272">
                  <c:v>1284.47</c:v>
                </c:pt>
                <c:pt idx="273">
                  <c:v>1289.26</c:v>
                </c:pt>
                <c:pt idx="274">
                  <c:v>1294.06</c:v>
                </c:pt>
                <c:pt idx="275">
                  <c:v>1298.8499999999999</c:v>
                </c:pt>
                <c:pt idx="276">
                  <c:v>1303.6400000000001</c:v>
                </c:pt>
                <c:pt idx="277">
                  <c:v>1308.43</c:v>
                </c:pt>
                <c:pt idx="278">
                  <c:v>1313.23</c:v>
                </c:pt>
                <c:pt idx="279">
                  <c:v>1318.02</c:v>
                </c:pt>
                <c:pt idx="280">
                  <c:v>1322.81</c:v>
                </c:pt>
                <c:pt idx="281">
                  <c:v>1327.61</c:v>
                </c:pt>
                <c:pt idx="282">
                  <c:v>1332.4</c:v>
                </c:pt>
                <c:pt idx="283">
                  <c:v>1337.19</c:v>
                </c:pt>
                <c:pt idx="284">
                  <c:v>1341.98</c:v>
                </c:pt>
                <c:pt idx="285">
                  <c:v>1346.78</c:v>
                </c:pt>
                <c:pt idx="286">
                  <c:v>1351.57</c:v>
                </c:pt>
                <c:pt idx="287">
                  <c:v>1356.36</c:v>
                </c:pt>
                <c:pt idx="288">
                  <c:v>1361.16</c:v>
                </c:pt>
                <c:pt idx="289">
                  <c:v>1365.95</c:v>
                </c:pt>
                <c:pt idx="290">
                  <c:v>1370.74</c:v>
                </c:pt>
                <c:pt idx="291">
                  <c:v>1375.53</c:v>
                </c:pt>
                <c:pt idx="292">
                  <c:v>1380.33</c:v>
                </c:pt>
                <c:pt idx="293">
                  <c:v>1385.12</c:v>
                </c:pt>
                <c:pt idx="294">
                  <c:v>1389.91</c:v>
                </c:pt>
                <c:pt idx="295">
                  <c:v>1394.7</c:v>
                </c:pt>
                <c:pt idx="296">
                  <c:v>1399.5</c:v>
                </c:pt>
                <c:pt idx="297">
                  <c:v>1404.29</c:v>
                </c:pt>
                <c:pt idx="298">
                  <c:v>1409.08</c:v>
                </c:pt>
                <c:pt idx="299">
                  <c:v>1413.88</c:v>
                </c:pt>
                <c:pt idx="300">
                  <c:v>1418.67</c:v>
                </c:pt>
                <c:pt idx="301">
                  <c:v>1423.46</c:v>
                </c:pt>
                <c:pt idx="302" formatCode="General">
                  <c:v>1428.25</c:v>
                </c:pt>
              </c:numCache>
            </c:numRef>
          </c:xVal>
          <c:yVal>
            <c:numRef>
              <c:f>Calc!$D$2:$D$304</c:f>
              <c:numCache>
                <c:formatCode>_(* #,##0.00_);_(* \(#,##0.00\);_(* "-"??_);_(@_)</c:formatCode>
                <c:ptCount val="303"/>
                <c:pt idx="0">
                  <c:v>-54213</c:v>
                </c:pt>
                <c:pt idx="1">
                  <c:v>-53494.5</c:v>
                </c:pt>
                <c:pt idx="2">
                  <c:v>-52774.5</c:v>
                </c:pt>
                <c:pt idx="3">
                  <c:v>-52056</c:v>
                </c:pt>
                <c:pt idx="4">
                  <c:v>-51337.5</c:v>
                </c:pt>
                <c:pt idx="5">
                  <c:v>-50619</c:v>
                </c:pt>
                <c:pt idx="6">
                  <c:v>-49899</c:v>
                </c:pt>
                <c:pt idx="7">
                  <c:v>-49180.5</c:v>
                </c:pt>
                <c:pt idx="8">
                  <c:v>-48462</c:v>
                </c:pt>
                <c:pt idx="9">
                  <c:v>-47742</c:v>
                </c:pt>
                <c:pt idx="10">
                  <c:v>-47023.5</c:v>
                </c:pt>
                <c:pt idx="11">
                  <c:v>-46305</c:v>
                </c:pt>
                <c:pt idx="12">
                  <c:v>-45586.5</c:v>
                </c:pt>
                <c:pt idx="13">
                  <c:v>-44866.5</c:v>
                </c:pt>
                <c:pt idx="14">
                  <c:v>-44148</c:v>
                </c:pt>
                <c:pt idx="15">
                  <c:v>-43429.5</c:v>
                </c:pt>
                <c:pt idx="16">
                  <c:v>-42711</c:v>
                </c:pt>
                <c:pt idx="17">
                  <c:v>-41991</c:v>
                </c:pt>
                <c:pt idx="18">
                  <c:v>-41272.5</c:v>
                </c:pt>
                <c:pt idx="19">
                  <c:v>-40554</c:v>
                </c:pt>
                <c:pt idx="20">
                  <c:v>-39834</c:v>
                </c:pt>
                <c:pt idx="21">
                  <c:v>-39115.5</c:v>
                </c:pt>
                <c:pt idx="22">
                  <c:v>-38397</c:v>
                </c:pt>
                <c:pt idx="23">
                  <c:v>-37678.5</c:v>
                </c:pt>
                <c:pt idx="24">
                  <c:v>-36958.5</c:v>
                </c:pt>
                <c:pt idx="25">
                  <c:v>-36240</c:v>
                </c:pt>
                <c:pt idx="26">
                  <c:v>-35521.5</c:v>
                </c:pt>
                <c:pt idx="27">
                  <c:v>-34801.5</c:v>
                </c:pt>
                <c:pt idx="28">
                  <c:v>-34083</c:v>
                </c:pt>
                <c:pt idx="29">
                  <c:v>-33364.5</c:v>
                </c:pt>
                <c:pt idx="30">
                  <c:v>-32646</c:v>
                </c:pt>
                <c:pt idx="31">
                  <c:v>-31925.999999999993</c:v>
                </c:pt>
                <c:pt idx="32">
                  <c:v>-31207.5</c:v>
                </c:pt>
                <c:pt idx="33">
                  <c:v>-30489.000000000004</c:v>
                </c:pt>
                <c:pt idx="34">
                  <c:v>-29768.999999999996</c:v>
                </c:pt>
                <c:pt idx="35">
                  <c:v>-29050.5</c:v>
                </c:pt>
                <c:pt idx="36">
                  <c:v>-28332.000000000004</c:v>
                </c:pt>
                <c:pt idx="37">
                  <c:v>-27613.499999999993</c:v>
                </c:pt>
                <c:pt idx="38">
                  <c:v>-26893.5</c:v>
                </c:pt>
                <c:pt idx="39">
                  <c:v>-26175.000000000007</c:v>
                </c:pt>
                <c:pt idx="40">
                  <c:v>-25456.499999999996</c:v>
                </c:pt>
                <c:pt idx="41">
                  <c:v>-24738</c:v>
                </c:pt>
                <c:pt idx="42">
                  <c:v>-24018</c:v>
                </c:pt>
                <c:pt idx="43">
                  <c:v>-23299.5</c:v>
                </c:pt>
                <c:pt idx="44">
                  <c:v>-22581</c:v>
                </c:pt>
                <c:pt idx="45">
                  <c:v>-21861</c:v>
                </c:pt>
                <c:pt idx="46">
                  <c:v>-21142.5</c:v>
                </c:pt>
                <c:pt idx="47">
                  <c:v>-20424</c:v>
                </c:pt>
                <c:pt idx="48">
                  <c:v>-19705.5</c:v>
                </c:pt>
                <c:pt idx="49">
                  <c:v>-18985.5</c:v>
                </c:pt>
                <c:pt idx="50">
                  <c:v>-18267</c:v>
                </c:pt>
                <c:pt idx="51">
                  <c:v>-17548.499999999996</c:v>
                </c:pt>
                <c:pt idx="52">
                  <c:v>-16828.5</c:v>
                </c:pt>
                <c:pt idx="53">
                  <c:v>-16110</c:v>
                </c:pt>
                <c:pt idx="54">
                  <c:v>-15391.5</c:v>
                </c:pt>
                <c:pt idx="55">
                  <c:v>-14672.999999999996</c:v>
                </c:pt>
                <c:pt idx="56">
                  <c:v>-13953.000000000004</c:v>
                </c:pt>
                <c:pt idx="57">
                  <c:v>-13234.5</c:v>
                </c:pt>
                <c:pt idx="58">
                  <c:v>-12515.999999999996</c:v>
                </c:pt>
                <c:pt idx="59">
                  <c:v>-11796.000000000004</c:v>
                </c:pt>
                <c:pt idx="60">
                  <c:v>-11077.500000000002</c:v>
                </c:pt>
                <c:pt idx="61">
                  <c:v>-10358.999999999998</c:v>
                </c:pt>
                <c:pt idx="62">
                  <c:v>-9640.5000000000036</c:v>
                </c:pt>
                <c:pt idx="63">
                  <c:v>-8920.5</c:v>
                </c:pt>
                <c:pt idx="64">
                  <c:v>-8202</c:v>
                </c:pt>
                <c:pt idx="65">
                  <c:v>-7483.5000000000045</c:v>
                </c:pt>
                <c:pt idx="66">
                  <c:v>-6765.0000000000009</c:v>
                </c:pt>
                <c:pt idx="67">
                  <c:v>-6044.9999999999991</c:v>
                </c:pt>
                <c:pt idx="68">
                  <c:v>-5326.4999999999964</c:v>
                </c:pt>
                <c:pt idx="69">
                  <c:v>-4608.0000000000018</c:v>
                </c:pt>
                <c:pt idx="70">
                  <c:v>-3888</c:v>
                </c:pt>
                <c:pt idx="71">
                  <c:v>-3169.4999999999968</c:v>
                </c:pt>
                <c:pt idx="72">
                  <c:v>-2451.0000000000023</c:v>
                </c:pt>
                <c:pt idx="73">
                  <c:v>-1732.4999999999993</c:v>
                </c:pt>
                <c:pt idx="74">
                  <c:v>-1012.4999999999977</c:v>
                </c:pt>
                <c:pt idx="75">
                  <c:v>-294.00000000000318</c:v>
                </c:pt>
                <c:pt idx="76">
                  <c:v>424.5</c:v>
                </c:pt>
                <c:pt idx="77">
                  <c:v>1144.5000000000018</c:v>
                </c:pt>
                <c:pt idx="78">
                  <c:v>1862.9999999999964</c:v>
                </c:pt>
                <c:pt idx="79">
                  <c:v>2581.4999999999991</c:v>
                </c:pt>
                <c:pt idx="80">
                  <c:v>3300.0000000000027</c:v>
                </c:pt>
                <c:pt idx="81">
                  <c:v>4020.0000000000036</c:v>
                </c:pt>
                <c:pt idx="82">
                  <c:v>4738.4999999999982</c:v>
                </c:pt>
                <c:pt idx="83">
                  <c:v>5457.0000000000018</c:v>
                </c:pt>
                <c:pt idx="84">
                  <c:v>5787</c:v>
                </c:pt>
                <c:pt idx="85">
                  <c:v>6437.0000000000055</c:v>
                </c:pt>
                <c:pt idx="86">
                  <c:v>7634.4999999999964</c:v>
                </c:pt>
                <c:pt idx="87">
                  <c:v>8832.0000000000018</c:v>
                </c:pt>
                <c:pt idx="88">
                  <c:v>10029.500000000007</c:v>
                </c:pt>
                <c:pt idx="89">
                  <c:v>11229.499999999995</c:v>
                </c:pt>
                <c:pt idx="90">
                  <c:v>12427</c:v>
                </c:pt>
                <c:pt idx="91">
                  <c:v>13624.500000000005</c:v>
                </c:pt>
                <c:pt idx="92">
                  <c:v>14821.999999999996</c:v>
                </c:pt>
                <c:pt idx="93">
                  <c:v>16022</c:v>
                </c:pt>
                <c:pt idx="94">
                  <c:v>17219.500000000007</c:v>
                </c:pt>
                <c:pt idx="95">
                  <c:v>18287</c:v>
                </c:pt>
                <c:pt idx="96">
                  <c:v>18364.999999999996</c:v>
                </c:pt>
                <c:pt idx="97">
                  <c:v>19085</c:v>
                </c:pt>
                <c:pt idx="98">
                  <c:v>19803.500000000004</c:v>
                </c:pt>
                <c:pt idx="99">
                  <c:v>20521.999999999996</c:v>
                </c:pt>
                <c:pt idx="100">
                  <c:v>21240.5</c:v>
                </c:pt>
                <c:pt idx="101">
                  <c:v>21960.5</c:v>
                </c:pt>
                <c:pt idx="102">
                  <c:v>22678.999999999996</c:v>
                </c:pt>
                <c:pt idx="103">
                  <c:v>23397.5</c:v>
                </c:pt>
                <c:pt idx="104">
                  <c:v>24117.5</c:v>
                </c:pt>
                <c:pt idx="105">
                  <c:v>24836.000000000004</c:v>
                </c:pt>
                <c:pt idx="106">
                  <c:v>25554.5</c:v>
                </c:pt>
                <c:pt idx="107">
                  <c:v>25787</c:v>
                </c:pt>
                <c:pt idx="108">
                  <c:v>25949</c:v>
                </c:pt>
                <c:pt idx="109">
                  <c:v>26189</c:v>
                </c:pt>
                <c:pt idx="110">
                  <c:v>26428.500000000004</c:v>
                </c:pt>
                <c:pt idx="111">
                  <c:v>26668</c:v>
                </c:pt>
                <c:pt idx="112">
                  <c:v>26907.999999999996</c:v>
                </c:pt>
                <c:pt idx="113">
                  <c:v>27147.500000000004</c:v>
                </c:pt>
                <c:pt idx="114">
                  <c:v>27387</c:v>
                </c:pt>
                <c:pt idx="115">
                  <c:v>27626.499999999996</c:v>
                </c:pt>
                <c:pt idx="116">
                  <c:v>27866.5</c:v>
                </c:pt>
                <c:pt idx="117">
                  <c:v>28106</c:v>
                </c:pt>
                <c:pt idx="118">
                  <c:v>28287</c:v>
                </c:pt>
                <c:pt idx="119">
                  <c:v>28462.499999999993</c:v>
                </c:pt>
                <c:pt idx="120">
                  <c:v>29181.000000000007</c:v>
                </c:pt>
                <c:pt idx="121">
                  <c:v>29901</c:v>
                </c:pt>
                <c:pt idx="122">
                  <c:v>30619.499999999993</c:v>
                </c:pt>
                <c:pt idx="123">
                  <c:v>31338.000000000007</c:v>
                </c:pt>
                <c:pt idx="124">
                  <c:v>32058</c:v>
                </c:pt>
                <c:pt idx="125">
                  <c:v>32776.499999999993</c:v>
                </c:pt>
                <c:pt idx="126">
                  <c:v>33495.000000000007</c:v>
                </c:pt>
                <c:pt idx="127">
                  <c:v>34213.5</c:v>
                </c:pt>
                <c:pt idx="128">
                  <c:v>34933.499999999993</c:v>
                </c:pt>
                <c:pt idx="129">
                  <c:v>35652</c:v>
                </c:pt>
                <c:pt idx="130">
                  <c:v>36370.5</c:v>
                </c:pt>
                <c:pt idx="131">
                  <c:v>37090.500000000007</c:v>
                </c:pt>
                <c:pt idx="132">
                  <c:v>37809</c:v>
                </c:pt>
                <c:pt idx="133">
                  <c:v>38527.5</c:v>
                </c:pt>
                <c:pt idx="134">
                  <c:v>39245.999999999993</c:v>
                </c:pt>
                <c:pt idx="135">
                  <c:v>39966</c:v>
                </c:pt>
                <c:pt idx="136">
                  <c:v>40684.5</c:v>
                </c:pt>
                <c:pt idx="137">
                  <c:v>41403.000000000007</c:v>
                </c:pt>
                <c:pt idx="138">
                  <c:v>42123</c:v>
                </c:pt>
                <c:pt idx="139">
                  <c:v>42841.499999999993</c:v>
                </c:pt>
                <c:pt idx="140">
                  <c:v>43560.000000000007</c:v>
                </c:pt>
                <c:pt idx="141">
                  <c:v>44278.5</c:v>
                </c:pt>
                <c:pt idx="142">
                  <c:v>44998.499999999993</c:v>
                </c:pt>
                <c:pt idx="143">
                  <c:v>45717.000000000007</c:v>
                </c:pt>
                <c:pt idx="144">
                  <c:v>46435.5</c:v>
                </c:pt>
                <c:pt idx="145">
                  <c:v>47153.999999999993</c:v>
                </c:pt>
                <c:pt idx="146">
                  <c:v>47874.000000000007</c:v>
                </c:pt>
                <c:pt idx="147">
                  <c:v>48592.5</c:v>
                </c:pt>
                <c:pt idx="148">
                  <c:v>49310.999999999993</c:v>
                </c:pt>
                <c:pt idx="149">
                  <c:v>50031.000000000007</c:v>
                </c:pt>
                <c:pt idx="150">
                  <c:v>50749.5</c:v>
                </c:pt>
                <c:pt idx="151">
                  <c:v>51467.999999999993</c:v>
                </c:pt>
                <c:pt idx="152">
                  <c:v>52186.500000000007</c:v>
                </c:pt>
                <c:pt idx="153">
                  <c:v>52906.5</c:v>
                </c:pt>
                <c:pt idx="154">
                  <c:v>53624.999999999993</c:v>
                </c:pt>
                <c:pt idx="155">
                  <c:v>54343.500000000007</c:v>
                </c:pt>
                <c:pt idx="156">
                  <c:v>55063.5</c:v>
                </c:pt>
                <c:pt idx="157">
                  <c:v>55781.999999999993</c:v>
                </c:pt>
                <c:pt idx="158">
                  <c:v>56500.500000000007</c:v>
                </c:pt>
                <c:pt idx="159">
                  <c:v>57219</c:v>
                </c:pt>
                <c:pt idx="160">
                  <c:v>57938.999999999993</c:v>
                </c:pt>
                <c:pt idx="161">
                  <c:v>58657.500000000007</c:v>
                </c:pt>
                <c:pt idx="162">
                  <c:v>59376</c:v>
                </c:pt>
                <c:pt idx="163">
                  <c:v>60095.999999999993</c:v>
                </c:pt>
                <c:pt idx="164">
                  <c:v>60814.5</c:v>
                </c:pt>
                <c:pt idx="165">
                  <c:v>61533</c:v>
                </c:pt>
                <c:pt idx="166">
                  <c:v>62251.499999999993</c:v>
                </c:pt>
                <c:pt idx="167">
                  <c:v>62971.5</c:v>
                </c:pt>
                <c:pt idx="168">
                  <c:v>63690</c:v>
                </c:pt>
                <c:pt idx="169">
                  <c:v>64408.499999999985</c:v>
                </c:pt>
                <c:pt idx="170">
                  <c:v>65127</c:v>
                </c:pt>
                <c:pt idx="171">
                  <c:v>65847</c:v>
                </c:pt>
                <c:pt idx="172">
                  <c:v>66565.500000000015</c:v>
                </c:pt>
                <c:pt idx="173">
                  <c:v>67284</c:v>
                </c:pt>
                <c:pt idx="174">
                  <c:v>68004</c:v>
                </c:pt>
                <c:pt idx="175">
                  <c:v>68722.500000000015</c:v>
                </c:pt>
                <c:pt idx="176">
                  <c:v>69441</c:v>
                </c:pt>
                <c:pt idx="177">
                  <c:v>70159.5</c:v>
                </c:pt>
                <c:pt idx="178">
                  <c:v>70879.5</c:v>
                </c:pt>
                <c:pt idx="179">
                  <c:v>71598</c:v>
                </c:pt>
                <c:pt idx="180">
                  <c:v>72316.5</c:v>
                </c:pt>
                <c:pt idx="181">
                  <c:v>73036.5</c:v>
                </c:pt>
                <c:pt idx="182">
                  <c:v>73755</c:v>
                </c:pt>
                <c:pt idx="183">
                  <c:v>74473.5</c:v>
                </c:pt>
                <c:pt idx="184">
                  <c:v>75192</c:v>
                </c:pt>
                <c:pt idx="185">
                  <c:v>75912</c:v>
                </c:pt>
                <c:pt idx="186">
                  <c:v>76630.5</c:v>
                </c:pt>
                <c:pt idx="187">
                  <c:v>77349</c:v>
                </c:pt>
                <c:pt idx="188">
                  <c:v>78069</c:v>
                </c:pt>
                <c:pt idx="189">
                  <c:v>78787.5</c:v>
                </c:pt>
                <c:pt idx="190">
                  <c:v>79506</c:v>
                </c:pt>
                <c:pt idx="191">
                  <c:v>80224.5</c:v>
                </c:pt>
                <c:pt idx="192">
                  <c:v>80944.5</c:v>
                </c:pt>
                <c:pt idx="193">
                  <c:v>81663</c:v>
                </c:pt>
                <c:pt idx="194">
                  <c:v>82381.5</c:v>
                </c:pt>
                <c:pt idx="195">
                  <c:v>83100</c:v>
                </c:pt>
                <c:pt idx="196">
                  <c:v>83820</c:v>
                </c:pt>
                <c:pt idx="197">
                  <c:v>84538.5</c:v>
                </c:pt>
                <c:pt idx="198">
                  <c:v>85257</c:v>
                </c:pt>
                <c:pt idx="199">
                  <c:v>85977</c:v>
                </c:pt>
                <c:pt idx="200">
                  <c:v>86695.5</c:v>
                </c:pt>
                <c:pt idx="201">
                  <c:v>87413.999999999985</c:v>
                </c:pt>
                <c:pt idx="202">
                  <c:v>88132.5</c:v>
                </c:pt>
                <c:pt idx="203">
                  <c:v>88852.5</c:v>
                </c:pt>
                <c:pt idx="204">
                  <c:v>89570.999999999985</c:v>
                </c:pt>
                <c:pt idx="205">
                  <c:v>90289.5</c:v>
                </c:pt>
                <c:pt idx="206">
                  <c:v>91009.5</c:v>
                </c:pt>
                <c:pt idx="207">
                  <c:v>91728.000000000015</c:v>
                </c:pt>
                <c:pt idx="208">
                  <c:v>92446.5</c:v>
                </c:pt>
                <c:pt idx="209">
                  <c:v>93165</c:v>
                </c:pt>
                <c:pt idx="210">
                  <c:v>93885.000000000015</c:v>
                </c:pt>
                <c:pt idx="211">
                  <c:v>94603.5</c:v>
                </c:pt>
                <c:pt idx="212">
                  <c:v>95322</c:v>
                </c:pt>
                <c:pt idx="213">
                  <c:v>96042</c:v>
                </c:pt>
                <c:pt idx="214">
                  <c:v>96760.5</c:v>
                </c:pt>
                <c:pt idx="215">
                  <c:v>97479</c:v>
                </c:pt>
                <c:pt idx="216">
                  <c:v>98197.500000000015</c:v>
                </c:pt>
                <c:pt idx="217">
                  <c:v>98917.5</c:v>
                </c:pt>
                <c:pt idx="218">
                  <c:v>99636.000000000015</c:v>
                </c:pt>
                <c:pt idx="219">
                  <c:v>100354.5</c:v>
                </c:pt>
                <c:pt idx="220">
                  <c:v>101073</c:v>
                </c:pt>
                <c:pt idx="221">
                  <c:v>101793</c:v>
                </c:pt>
                <c:pt idx="222">
                  <c:v>102511.49999999999</c:v>
                </c:pt>
                <c:pt idx="223">
                  <c:v>103229.99999999999</c:v>
                </c:pt>
                <c:pt idx="224">
                  <c:v>103950.00000000001</c:v>
                </c:pt>
                <c:pt idx="225">
                  <c:v>104668.5</c:v>
                </c:pt>
                <c:pt idx="226">
                  <c:v>105387</c:v>
                </c:pt>
                <c:pt idx="227">
                  <c:v>106105.5</c:v>
                </c:pt>
                <c:pt idx="228">
                  <c:v>106825.49999999999</c:v>
                </c:pt>
                <c:pt idx="229">
                  <c:v>107544.00000000001</c:v>
                </c:pt>
                <c:pt idx="230">
                  <c:v>108262.50000000001</c:v>
                </c:pt>
                <c:pt idx="231">
                  <c:v>108982.5</c:v>
                </c:pt>
                <c:pt idx="232">
                  <c:v>109701</c:v>
                </c:pt>
                <c:pt idx="233">
                  <c:v>110419.5</c:v>
                </c:pt>
                <c:pt idx="234">
                  <c:v>111137.99999999999</c:v>
                </c:pt>
                <c:pt idx="235">
                  <c:v>111858.00000000001</c:v>
                </c:pt>
                <c:pt idx="236">
                  <c:v>112576.50000000001</c:v>
                </c:pt>
                <c:pt idx="237">
                  <c:v>113295</c:v>
                </c:pt>
                <c:pt idx="238">
                  <c:v>114015</c:v>
                </c:pt>
                <c:pt idx="239">
                  <c:v>114733.49999999999</c:v>
                </c:pt>
                <c:pt idx="240">
                  <c:v>115451.99999999999</c:v>
                </c:pt>
                <c:pt idx="241">
                  <c:v>116170.50000000001</c:v>
                </c:pt>
                <c:pt idx="242">
                  <c:v>116890.50000000001</c:v>
                </c:pt>
                <c:pt idx="243">
                  <c:v>117609</c:v>
                </c:pt>
                <c:pt idx="244">
                  <c:v>118327.5</c:v>
                </c:pt>
                <c:pt idx="245">
                  <c:v>119045.99999999999</c:v>
                </c:pt>
                <c:pt idx="246">
                  <c:v>119765.99999999999</c:v>
                </c:pt>
                <c:pt idx="247">
                  <c:v>120484.50000000001</c:v>
                </c:pt>
                <c:pt idx="248">
                  <c:v>121203.00000000001</c:v>
                </c:pt>
                <c:pt idx="249">
                  <c:v>121923</c:v>
                </c:pt>
                <c:pt idx="250">
                  <c:v>122641.5</c:v>
                </c:pt>
                <c:pt idx="251">
                  <c:v>123359.99999999999</c:v>
                </c:pt>
                <c:pt idx="252">
                  <c:v>124078.49999999999</c:v>
                </c:pt>
                <c:pt idx="253">
                  <c:v>124798.50000000001</c:v>
                </c:pt>
                <c:pt idx="254">
                  <c:v>125517</c:v>
                </c:pt>
                <c:pt idx="255">
                  <c:v>126235.5</c:v>
                </c:pt>
                <c:pt idx="256">
                  <c:v>126955.5</c:v>
                </c:pt>
                <c:pt idx="257">
                  <c:v>127673.99999999997</c:v>
                </c:pt>
                <c:pt idx="258">
                  <c:v>128392.49999999997</c:v>
                </c:pt>
                <c:pt idx="259">
                  <c:v>129111</c:v>
                </c:pt>
                <c:pt idx="260">
                  <c:v>129831</c:v>
                </c:pt>
                <c:pt idx="261">
                  <c:v>130549.5</c:v>
                </c:pt>
                <c:pt idx="262">
                  <c:v>131268</c:v>
                </c:pt>
                <c:pt idx="263">
                  <c:v>131988</c:v>
                </c:pt>
                <c:pt idx="264">
                  <c:v>132706.50000000003</c:v>
                </c:pt>
                <c:pt idx="265">
                  <c:v>133425</c:v>
                </c:pt>
                <c:pt idx="266">
                  <c:v>134143.5</c:v>
                </c:pt>
                <c:pt idx="267">
                  <c:v>134863.5</c:v>
                </c:pt>
                <c:pt idx="268">
                  <c:v>135582</c:v>
                </c:pt>
                <c:pt idx="269">
                  <c:v>136300.5</c:v>
                </c:pt>
                <c:pt idx="270">
                  <c:v>137019.00000000003</c:v>
                </c:pt>
                <c:pt idx="271">
                  <c:v>137739</c:v>
                </c:pt>
                <c:pt idx="272">
                  <c:v>138457.5</c:v>
                </c:pt>
                <c:pt idx="273">
                  <c:v>139176</c:v>
                </c:pt>
                <c:pt idx="274">
                  <c:v>139896</c:v>
                </c:pt>
                <c:pt idx="275">
                  <c:v>140614.5</c:v>
                </c:pt>
                <c:pt idx="276">
                  <c:v>141333.00000000003</c:v>
                </c:pt>
                <c:pt idx="277">
                  <c:v>142051.5</c:v>
                </c:pt>
                <c:pt idx="278">
                  <c:v>142771.5</c:v>
                </c:pt>
                <c:pt idx="279">
                  <c:v>143490</c:v>
                </c:pt>
                <c:pt idx="280">
                  <c:v>144208.5</c:v>
                </c:pt>
                <c:pt idx="281">
                  <c:v>144928.49999999997</c:v>
                </c:pt>
                <c:pt idx="282">
                  <c:v>145647</c:v>
                </c:pt>
                <c:pt idx="283">
                  <c:v>146365.5</c:v>
                </c:pt>
                <c:pt idx="284">
                  <c:v>147084</c:v>
                </c:pt>
                <c:pt idx="285">
                  <c:v>147804</c:v>
                </c:pt>
                <c:pt idx="286">
                  <c:v>148522.5</c:v>
                </c:pt>
                <c:pt idx="287">
                  <c:v>149240.99999999997</c:v>
                </c:pt>
                <c:pt idx="288">
                  <c:v>149961</c:v>
                </c:pt>
                <c:pt idx="289">
                  <c:v>150679.5</c:v>
                </c:pt>
                <c:pt idx="290">
                  <c:v>151398</c:v>
                </c:pt>
                <c:pt idx="291">
                  <c:v>152116.5</c:v>
                </c:pt>
                <c:pt idx="292">
                  <c:v>152836.5</c:v>
                </c:pt>
                <c:pt idx="293">
                  <c:v>153554.99999999997</c:v>
                </c:pt>
                <c:pt idx="294">
                  <c:v>154273.5</c:v>
                </c:pt>
                <c:pt idx="295">
                  <c:v>154992</c:v>
                </c:pt>
                <c:pt idx="296">
                  <c:v>155712</c:v>
                </c:pt>
                <c:pt idx="297">
                  <c:v>156430.5</c:v>
                </c:pt>
                <c:pt idx="298">
                  <c:v>157149</c:v>
                </c:pt>
                <c:pt idx="299">
                  <c:v>157869.00000000003</c:v>
                </c:pt>
                <c:pt idx="300">
                  <c:v>158587.5</c:v>
                </c:pt>
                <c:pt idx="301">
                  <c:v>159306</c:v>
                </c:pt>
                <c:pt idx="302" formatCode="General">
                  <c:v>160024.5</c:v>
                </c:pt>
              </c:numCache>
            </c:numRef>
          </c:yVal>
          <c:smooth val="0"/>
          <c:extLst>
            <c:ext xmlns:c16="http://schemas.microsoft.com/office/drawing/2014/chart" uri="{C3380CC4-5D6E-409C-BE32-E72D297353CC}">
              <c16:uniqueId val="{00000002-EDB3-4DB4-A87E-020412D75C18}"/>
            </c:ext>
          </c:extLst>
        </c:ser>
        <c:ser>
          <c:idx val="7"/>
          <c:order val="5"/>
          <c:tx>
            <c:v>SpotLine</c:v>
          </c:tx>
          <c:spPr>
            <a:ln w="19050" cap="rnd">
              <a:solidFill>
                <a:srgbClr val="000000"/>
              </a:solidFill>
              <a:prstDash val="dash"/>
              <a:round/>
            </a:ln>
            <a:effectLst/>
          </c:spPr>
          <c:marker>
            <c:symbol val="none"/>
          </c:marker>
          <c:xVal>
            <c:numLit>
              <c:formatCode>General</c:formatCode>
              <c:ptCount val="2"/>
              <c:pt idx="0">
                <c:v>692.17999267578125</c:v>
              </c:pt>
              <c:pt idx="1">
                <c:v>692.17999267578125</c:v>
              </c:pt>
            </c:numLit>
          </c:xVal>
          <c:yVal>
            <c:numLit>
              <c:formatCode>General</c:formatCode>
              <c:ptCount val="2"/>
              <c:pt idx="0">
                <c:v>-1000000000</c:v>
              </c:pt>
              <c:pt idx="1">
                <c:v>1000000000</c:v>
              </c:pt>
            </c:numLit>
          </c:yVal>
          <c:smooth val="0"/>
          <c:extLst>
            <c:ext xmlns:c16="http://schemas.microsoft.com/office/drawing/2014/chart" uri="{C3380CC4-5D6E-409C-BE32-E72D297353CC}">
              <c16:uniqueId val="{00000003-EDB3-4DB4-A87E-020412D75C18}"/>
            </c:ext>
          </c:extLst>
        </c:ser>
        <c:ser>
          <c:idx val="8"/>
          <c:order val="6"/>
          <c:tx>
            <c:v>SpotLabel</c:v>
          </c:tx>
          <c:spPr>
            <a:ln w="25400" cap="rnd">
              <a:noFill/>
              <a:round/>
            </a:ln>
            <a:effectLst/>
          </c:spPr>
          <c:marker>
            <c:symbol val="none"/>
          </c:marker>
          <c:dLbls>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r>
                      <a:rPr lang="en-US"/>
                      <a:t>Spot $692.18</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EDB3-4DB4-A87E-020412D75C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1"/>
              <c:pt idx="0">
                <c:v>692.17999267578125</c:v>
              </c:pt>
            </c:numLit>
          </c:xVal>
          <c:yVal>
            <c:numLit>
              <c:formatCode>General</c:formatCode>
              <c:ptCount val="1"/>
              <c:pt idx="0">
                <c:v>40000</c:v>
              </c:pt>
            </c:numLit>
          </c:yVal>
          <c:smooth val="0"/>
          <c:extLst>
            <c:ext xmlns:c16="http://schemas.microsoft.com/office/drawing/2014/chart" uri="{C3380CC4-5D6E-409C-BE32-E72D297353CC}">
              <c16:uniqueId val="{00000005-EDB3-4DB4-A87E-020412D75C18}"/>
            </c:ext>
          </c:extLst>
        </c:ser>
        <c:ser>
          <c:idx val="1"/>
          <c:order val="3"/>
          <c:tx>
            <c:v>SpotLine</c:v>
          </c:tx>
          <c:spPr>
            <a:ln w="19050" cap="rnd">
              <a:solidFill>
                <a:srgbClr val="000000"/>
              </a:solidFill>
              <a:prstDash val="dash"/>
              <a:round/>
            </a:ln>
            <a:effectLst/>
          </c:spPr>
          <c:marker>
            <c:symbol val="none"/>
          </c:marker>
          <c:xVal>
            <c:numLit>
              <c:formatCode>General</c:formatCode>
              <c:ptCount val="2"/>
              <c:pt idx="0">
                <c:v>479.28</c:v>
              </c:pt>
              <c:pt idx="1">
                <c:v>479.28</c:v>
              </c:pt>
            </c:numLit>
          </c:xVal>
          <c:yVal>
            <c:numLit>
              <c:formatCode>General</c:formatCode>
              <c:ptCount val="2"/>
              <c:pt idx="0">
                <c:v>-1000000000</c:v>
              </c:pt>
              <c:pt idx="1">
                <c:v>1000000000</c:v>
              </c:pt>
            </c:numLit>
          </c:yVal>
          <c:smooth val="0"/>
          <c:extLst>
            <c:ext xmlns:c16="http://schemas.microsoft.com/office/drawing/2014/chart" uri="{C3380CC4-5D6E-409C-BE32-E72D297353CC}">
              <c16:uniqueId val="{00000006-EDB3-4DB4-A87E-020412D75C18}"/>
            </c:ext>
          </c:extLst>
        </c:ser>
        <c:ser>
          <c:idx val="4"/>
          <c:order val="4"/>
          <c:tx>
            <c:v>SpotLabel</c:v>
          </c:tx>
          <c:spPr>
            <a:ln w="25400" cap="rnd">
              <a:noFill/>
              <a:round/>
            </a:ln>
            <a:effectLst/>
          </c:spPr>
          <c:marker>
            <c:symbol val="none"/>
          </c:marker>
          <c:dLbls>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r>
                      <a:rPr lang="en-US"/>
                      <a:t>Spot $479.28</a:t>
                    </a:r>
                  </a:p>
                </c:rich>
              </c:tx>
              <c:numFmt formatCode="General" sourceLinked="0"/>
              <c:spPr>
                <a:solidFill>
                  <a:srgbClr val="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EDB3-4DB4-A87E-020412D75C18}"/>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1"/>
              <c:pt idx="0">
                <c:v>479.28</c:v>
              </c:pt>
            </c:numLit>
          </c:xVal>
          <c:yVal>
            <c:numLit>
              <c:formatCode>General</c:formatCode>
              <c:ptCount val="1"/>
              <c:pt idx="0">
                <c:v>1500000</c:v>
              </c:pt>
            </c:numLit>
          </c:yVal>
          <c:smooth val="0"/>
          <c:extLst>
            <c:ext xmlns:c16="http://schemas.microsoft.com/office/drawing/2014/chart" uri="{C3380CC4-5D6E-409C-BE32-E72D297353CC}">
              <c16:uniqueId val="{00000008-EDB3-4DB4-A87E-020412D75C18}"/>
            </c:ext>
          </c:extLst>
        </c:ser>
        <c:ser>
          <c:idx val="5"/>
          <c:order val="7"/>
          <c:tx>
            <c:v>KeyPoints_Opt</c:v>
          </c:tx>
          <c:spPr>
            <a:ln w="25400" cap="rnd">
              <a:noFill/>
              <a:round/>
            </a:ln>
            <a:effectLst/>
          </c:spPr>
          <c:marker>
            <c:symbol val="circle"/>
            <c:size val="6"/>
            <c:spPr>
              <a:solidFill>
                <a:srgbClr val="FF0000"/>
              </a:solidFill>
              <a:ln w="9525">
                <a:solidFill>
                  <a:srgbClr val="FFFFFF"/>
                </a:solidFill>
                <a:prstDash val="solid"/>
              </a:ln>
              <a:effectLst/>
            </c:spPr>
          </c:marker>
          <c:dLbls>
            <c:dLbl>
              <c:idx val="0"/>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B/E 1 $432.13</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EDB3-4DB4-A87E-020412D75C18}"/>
                </c:ext>
              </c:extLst>
            </c:dLbl>
            <c:dLbl>
              <c:idx val="1"/>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B/E 2 $517.87</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EDB3-4DB4-A87E-020412D75C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432.13</c:v>
              </c:pt>
              <c:pt idx="1">
                <c:v>517.87</c:v>
              </c:pt>
            </c:numLit>
          </c:xVal>
          <c:yVal>
            <c:numLit>
              <c:formatCode>General</c:formatCode>
              <c:ptCount val="2"/>
              <c:pt idx="0">
                <c:v>-4.4899195472680731E-11</c:v>
              </c:pt>
              <c:pt idx="1">
                <c:v>-4.4899195472680731E-11</c:v>
              </c:pt>
            </c:numLit>
          </c:yVal>
          <c:smooth val="0"/>
          <c:extLst>
            <c:ext xmlns:c16="http://schemas.microsoft.com/office/drawing/2014/chart" uri="{C3380CC4-5D6E-409C-BE32-E72D297353CC}">
              <c16:uniqueId val="{0000000B-EDB3-4DB4-A87E-020412D75C18}"/>
            </c:ext>
          </c:extLst>
        </c:ser>
        <c:ser>
          <c:idx val="6"/>
          <c:order val="8"/>
          <c:tx>
            <c:v>KeyPoints_Comb</c:v>
          </c:tx>
          <c:spPr>
            <a:ln w="25400" cap="rnd">
              <a:noFill/>
              <a:round/>
            </a:ln>
            <a:effectLst/>
          </c:spPr>
          <c:marker>
            <c:symbol val="circle"/>
            <c:size val="6"/>
            <c:spPr>
              <a:solidFill>
                <a:srgbClr val="7030A0"/>
              </a:solidFill>
              <a:ln w="9525">
                <a:solidFill>
                  <a:srgbClr val="FFFFFF"/>
                </a:solidFill>
                <a:prstDash val="solid"/>
              </a:ln>
              <a:effectLst/>
            </c:spPr>
          </c:marker>
          <c:dLbls>
            <c:dLbl>
              <c:idx val="0"/>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Strike 1 $400</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EDB3-4DB4-A87E-020412D75C18}"/>
                </c:ext>
              </c:extLst>
            </c:dLbl>
            <c:dLbl>
              <c:idx val="1"/>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Strike 2 $450</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EDB3-4DB4-A87E-020412D75C18}"/>
                </c:ext>
              </c:extLst>
            </c:dLbl>
            <c:dLbl>
              <c:idx val="2"/>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Strike 3 $500</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EDB3-4DB4-A87E-020412D75C18}"/>
                </c:ext>
              </c:extLst>
            </c:dLbl>
            <c:dLbl>
              <c:idx val="3"/>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Strike 4 $550</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EDB3-4DB4-A87E-020412D75C18}"/>
                </c:ext>
              </c:extLst>
            </c:dLbl>
            <c:dLbl>
              <c:idx val="4"/>
              <c:tx>
                <c:rich>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r>
                      <a:rPr lang="en-US"/>
                      <a:t>B/E 1 $401.42</a:t>
                    </a:r>
                  </a:p>
                </c:rich>
              </c:tx>
              <c:spPr>
                <a:solidFill>
                  <a:srgbClr val="FFFFFF"/>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EDB3-4DB4-A87E-020412D75C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1"/>
            <c:plus>
              <c:numLit>
                <c:formatCode>General</c:formatCode>
                <c:ptCount val="5"/>
                <c:pt idx="0">
                  <c:v>21300</c:v>
                </c:pt>
                <c:pt idx="1">
                  <c:v>0</c:v>
                </c:pt>
                <c:pt idx="2">
                  <c:v>0</c:v>
                </c:pt>
                <c:pt idx="3">
                  <c:v>0</c:v>
                </c:pt>
                <c:pt idx="4">
                  <c:v>0</c:v>
                </c:pt>
              </c:numLit>
            </c:plus>
            <c:minus>
              <c:numLit>
                <c:formatCode>General</c:formatCode>
                <c:ptCount val="5"/>
                <c:pt idx="0">
                  <c:v>0</c:v>
                </c:pt>
                <c:pt idx="1">
                  <c:v>728700</c:v>
                </c:pt>
                <c:pt idx="2">
                  <c:v>978700</c:v>
                </c:pt>
                <c:pt idx="3">
                  <c:v>728700</c:v>
                </c:pt>
                <c:pt idx="4">
                  <c:v>2.3283064365386963E-10</c:v>
                </c:pt>
              </c:numLit>
            </c:minus>
            <c:spPr>
              <a:noFill/>
              <a:ln w="3175" cap="flat" cmpd="sng" algn="ctr">
                <a:solidFill>
                  <a:srgbClr val="646464"/>
                </a:solidFill>
                <a:prstDash val="lgDash"/>
                <a:round/>
              </a:ln>
              <a:effectLst/>
            </c:spPr>
          </c:errBars>
          <c:xVal>
            <c:numLit>
              <c:formatCode>General</c:formatCode>
              <c:ptCount val="5"/>
              <c:pt idx="0">
                <c:v>400</c:v>
              </c:pt>
              <c:pt idx="1">
                <c:v>450</c:v>
              </c:pt>
              <c:pt idx="2">
                <c:v>500</c:v>
              </c:pt>
              <c:pt idx="3">
                <c:v>550</c:v>
              </c:pt>
              <c:pt idx="4">
                <c:v>401.42</c:v>
              </c:pt>
            </c:numLit>
          </c:xVal>
          <c:yVal>
            <c:numLit>
              <c:formatCode>General</c:formatCode>
              <c:ptCount val="5"/>
              <c:pt idx="0">
                <c:v>-21300</c:v>
              </c:pt>
              <c:pt idx="1">
                <c:v>728700</c:v>
              </c:pt>
              <c:pt idx="2">
                <c:v>978700</c:v>
              </c:pt>
              <c:pt idx="3">
                <c:v>728700</c:v>
              </c:pt>
              <c:pt idx="4">
                <c:v>2.3283064365386963E-10</c:v>
              </c:pt>
            </c:numLit>
          </c:yVal>
          <c:smooth val="0"/>
          <c:extLst>
            <c:ext xmlns:c16="http://schemas.microsoft.com/office/drawing/2014/chart" uri="{C3380CC4-5D6E-409C-BE32-E72D297353CC}">
              <c16:uniqueId val="{00000011-EDB3-4DB4-A87E-020412D75C18}"/>
            </c:ext>
          </c:extLst>
        </c:ser>
        <c:dLbls>
          <c:showLegendKey val="0"/>
          <c:showVal val="0"/>
          <c:showCatName val="0"/>
          <c:showSerName val="0"/>
          <c:showPercent val="0"/>
          <c:showBubbleSize val="0"/>
        </c:dLbls>
        <c:axId val="607959936"/>
        <c:axId val="607960416"/>
      </c:scatterChart>
      <c:valAx>
        <c:axId val="607959936"/>
        <c:scaling>
          <c:orientation val="minMax"/>
          <c:max val="575"/>
          <c:min val="375"/>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Stock Price</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07960416"/>
        <c:crosses val="autoZero"/>
        <c:crossBetween val="midCat"/>
        <c:majorUnit val="25"/>
      </c:valAx>
      <c:valAx>
        <c:axId val="607960416"/>
        <c:scaling>
          <c:orientation val="minMax"/>
          <c:max val="1500000"/>
          <c:min val="-50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PnL</a:t>
                </a:r>
              </a:p>
            </c:rich>
          </c:tx>
          <c:layout>
            <c:manualLayout>
              <c:xMode val="edge"/>
              <c:yMode val="edge"/>
              <c:x val="4.0551500405515001E-3"/>
              <c:y val="0.4919623697731352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07959936"/>
        <c:crosses val="autoZero"/>
        <c:crossBetween val="midCat"/>
        <c:majorUnit val="25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Calc!$Z$3" lockText="1" noThreeD="1"/>
</file>

<file path=xl/ctrlProps/ctrlProp12.xml><?xml version="1.0" encoding="utf-8"?>
<formControlPr xmlns="http://schemas.microsoft.com/office/spreadsheetml/2009/9/main" objectType="CheckBox" fmlaLink="Calc!$Z$4" lockText="1" noThreeD="1"/>
</file>

<file path=xl/ctrlProps/ctrlProp13.xml><?xml version="1.0" encoding="utf-8"?>
<formControlPr xmlns="http://schemas.microsoft.com/office/spreadsheetml/2009/9/main" objectType="CheckBox" checked="Checked" fmlaLink="Calc!$Z$5" lockText="1" noThreeD="1"/>
</file>

<file path=xl/ctrlProps/ctrlProp14.xml><?xml version="1.0" encoding="utf-8"?>
<formControlPr xmlns="http://schemas.microsoft.com/office/spreadsheetml/2009/9/main" objectType="CheckBox" checked="Checked" fmlaLink="Calc!$Z$6" lockText="1" noThreeD="1"/>
</file>

<file path=xl/ctrlProps/ctrlProp15.xml><?xml version="1.0" encoding="utf-8"?>
<formControlPr xmlns="http://schemas.microsoft.com/office/spreadsheetml/2009/9/main" objectType="CheckBox" checked="Checked" fmlaLink="Calc!$Z$7" lockText="1" noThreeD="1"/>
</file>

<file path=xl/ctrlProps/ctrlProp16.xml><?xml version="1.0" encoding="utf-8"?>
<formControlPr xmlns="http://schemas.microsoft.com/office/spreadsheetml/2009/9/main" objectType="CheckBox" checked="Checked" fmlaLink="Calc!$Z$8" lockText="1" noThreeD="1"/>
</file>

<file path=xl/ctrlProps/ctrlProp17.xml><?xml version="1.0" encoding="utf-8"?>
<formControlPr xmlns="http://schemas.microsoft.com/office/spreadsheetml/2009/9/main" objectType="CheckBox" checked="Checked" fmlaLink="Calc!$Z$9" lockText="1" noThreeD="1"/>
</file>

<file path=xl/ctrlProps/ctrlProp18.xml><?xml version="1.0" encoding="utf-8"?>
<formControlPr xmlns="http://schemas.microsoft.com/office/spreadsheetml/2009/9/main" objectType="CheckBox" checked="Checked" fmlaLink="Calc!$Z$10" lockText="1" noThreeD="1"/>
</file>

<file path=xl/ctrlProps/ctrlProp19.xml><?xml version="1.0" encoding="utf-8"?>
<formControlPr xmlns="http://schemas.microsoft.com/office/spreadsheetml/2009/9/main" objectType="CheckBox" checked="Checked" fmlaLink="Calc!$Z$11" lockText="1" noThreeD="1"/>
</file>

<file path=xl/ctrlProps/ctrlProp20.xml><?xml version="1.0" encoding="utf-8"?>
<formControlPr xmlns="http://schemas.microsoft.com/office/spreadsheetml/2009/9/main" objectType="CheckBox" checked="Checked" fmlaLink="Calc!$Z$12"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Spin" dx="26" fmlaLink="$B$48" max="50" min="1" page="10" val="4"/>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0</xdr:colOff>
      <xdr:row>16</xdr:row>
      <xdr:rowOff>1905</xdr:rowOff>
    </xdr:from>
    <xdr:to>
      <xdr:col>10</xdr:col>
      <xdr:colOff>0</xdr:colOff>
      <xdr:row>40</xdr:row>
      <xdr:rowOff>144780</xdr:rowOff>
    </xdr:to>
    <xdr:graphicFrame macro="">
      <xdr:nvGraphicFramePr>
        <xdr:cNvPr id="3" name="PayoffDiagram">
          <a:extLst>
            <a:ext uri="{FF2B5EF4-FFF2-40B4-BE49-F238E27FC236}">
              <a16:creationId xmlns:a16="http://schemas.microsoft.com/office/drawing/2014/main" id="{315BF1C6-894E-40EC-1C91-55EFEF8DCC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14</xdr:col>
          <xdr:colOff>792480</xdr:colOff>
          <xdr:row>3</xdr:row>
          <xdr:rowOff>121920</xdr:rowOff>
        </xdr:from>
        <xdr:to>
          <xdr:col>16</xdr:col>
          <xdr:colOff>289560</xdr:colOff>
          <xdr:row>5</xdr:row>
          <xdr:rowOff>38100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3) Run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1295400</xdr:colOff>
          <xdr:row>9</xdr:row>
          <xdr:rowOff>53340</xdr:rowOff>
        </xdr:from>
        <xdr:to>
          <xdr:col>11</xdr:col>
          <xdr:colOff>1661160</xdr:colOff>
          <xdr:row>10</xdr:row>
          <xdr:rowOff>137160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Black"/>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1295400</xdr:colOff>
          <xdr:row>11</xdr:row>
          <xdr:rowOff>30480</xdr:rowOff>
        </xdr:from>
        <xdr:to>
          <xdr:col>11</xdr:col>
          <xdr:colOff>1661160</xdr:colOff>
          <xdr:row>12</xdr:row>
          <xdr:rowOff>121920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Black"/>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868680</xdr:colOff>
          <xdr:row>9</xdr:row>
          <xdr:rowOff>53340</xdr:rowOff>
        </xdr:from>
        <xdr:to>
          <xdr:col>11</xdr:col>
          <xdr:colOff>1234440</xdr:colOff>
          <xdr:row>10</xdr:row>
          <xdr:rowOff>137160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Black"/>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868680</xdr:colOff>
          <xdr:row>11</xdr:row>
          <xdr:rowOff>30480</xdr:rowOff>
        </xdr:from>
        <xdr:to>
          <xdr:col>11</xdr:col>
          <xdr:colOff>1234440</xdr:colOff>
          <xdr:row>12</xdr:row>
          <xdr:rowOff>121920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Black"/>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480060</xdr:colOff>
          <xdr:row>11</xdr:row>
          <xdr:rowOff>160020</xdr:rowOff>
        </xdr:from>
        <xdr:to>
          <xdr:col>13</xdr:col>
          <xdr:colOff>205740</xdr:colOff>
          <xdr:row>13</xdr:row>
          <xdr:rowOff>22860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9</xdr:row>
          <xdr:rowOff>22860</xdr:rowOff>
        </xdr:from>
        <xdr:to>
          <xdr:col>13</xdr:col>
          <xdr:colOff>213360</xdr:colOff>
          <xdr:row>10</xdr:row>
          <xdr:rowOff>68580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243840</xdr:colOff>
          <xdr:row>10</xdr:row>
          <xdr:rowOff>83820</xdr:rowOff>
        </xdr:from>
        <xdr:to>
          <xdr:col>12</xdr:col>
          <xdr:colOff>693420</xdr:colOff>
          <xdr:row>11</xdr:row>
          <xdr:rowOff>137160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Left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xdr:colOff>
          <xdr:row>10</xdr:row>
          <xdr:rowOff>83820</xdr:rowOff>
        </xdr:from>
        <xdr:to>
          <xdr:col>13</xdr:col>
          <xdr:colOff>472440</xdr:colOff>
          <xdr:row>11</xdr:row>
          <xdr:rowOff>137160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91440</xdr:colOff>
          <xdr:row>13</xdr:row>
          <xdr:rowOff>91440</xdr:rowOff>
        </xdr:from>
        <xdr:to>
          <xdr:col>11</xdr:col>
          <xdr:colOff>1234440</xdr:colOff>
          <xdr:row>14</xdr:row>
          <xdr:rowOff>129540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Aptos Narrow"/>
                </a:rPr>
                <a:t>Recenter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10</xdr:row>
          <xdr:rowOff>99060</xdr:rowOff>
        </xdr:from>
        <xdr:to>
          <xdr:col>16</xdr:col>
          <xdr:colOff>411480</xdr:colOff>
          <xdr:row>11</xdr:row>
          <xdr:rowOff>99060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Option Strikes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22860</xdr:rowOff>
        </xdr:from>
        <xdr:to>
          <xdr:col>16</xdr:col>
          <xdr:colOff>411480</xdr:colOff>
          <xdr:row>14</xdr:row>
          <xdr:rowOff>22860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Option Strike Lines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312420</xdr:colOff>
          <xdr:row>6</xdr:row>
          <xdr:rowOff>45720</xdr:rowOff>
        </xdr:from>
        <xdr:to>
          <xdr:col>17</xdr:col>
          <xdr:colOff>152400</xdr:colOff>
          <xdr:row>7</xdr:row>
          <xdr:rowOff>45720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Spot Price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9</xdr:row>
          <xdr:rowOff>68580</xdr:rowOff>
        </xdr:from>
        <xdr:to>
          <xdr:col>16</xdr:col>
          <xdr:colOff>411480</xdr:colOff>
          <xdr:row>10</xdr:row>
          <xdr:rowOff>68580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Show Options PnL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350520</xdr:colOff>
          <xdr:row>6</xdr:row>
          <xdr:rowOff>45720</xdr:rowOff>
        </xdr:from>
        <xdr:to>
          <xdr:col>18</xdr:col>
          <xdr:colOff>541020</xdr:colOff>
          <xdr:row>7</xdr:row>
          <xdr:rowOff>45720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Show Stock PnL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9</xdr:row>
          <xdr:rowOff>68580</xdr:rowOff>
        </xdr:from>
        <xdr:to>
          <xdr:col>18</xdr:col>
          <xdr:colOff>556260</xdr:colOff>
          <xdr:row>10</xdr:row>
          <xdr:rowOff>68580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Show Combined PnL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10</xdr:row>
          <xdr:rowOff>99060</xdr:rowOff>
        </xdr:from>
        <xdr:to>
          <xdr:col>18</xdr:col>
          <xdr:colOff>541020</xdr:colOff>
          <xdr:row>11</xdr:row>
          <xdr:rowOff>106680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Combined Strikes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13</xdr:row>
          <xdr:rowOff>22860</xdr:rowOff>
        </xdr:from>
        <xdr:to>
          <xdr:col>18</xdr:col>
          <xdr:colOff>541020</xdr:colOff>
          <xdr:row>14</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Combined Strike Lines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11</xdr:row>
          <xdr:rowOff>144780</xdr:rowOff>
        </xdr:from>
        <xdr:to>
          <xdr:col>16</xdr:col>
          <xdr:colOff>411480</xdr:colOff>
          <xdr:row>12</xdr:row>
          <xdr:rowOff>152400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Option Breakevens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11</xdr:row>
          <xdr:rowOff>152400</xdr:rowOff>
        </xdr:from>
        <xdr:to>
          <xdr:col>18</xdr:col>
          <xdr:colOff>541020</xdr:colOff>
          <xdr:row>12</xdr:row>
          <xdr:rowOff>160020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Combined Breakevens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259080</xdr:colOff>
          <xdr:row>3</xdr:row>
          <xdr:rowOff>60960</xdr:rowOff>
        </xdr:from>
        <xdr:to>
          <xdr:col>11</xdr:col>
          <xdr:colOff>1447800</xdr:colOff>
          <xdr:row>4</xdr:row>
          <xdr:rowOff>68580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1) Fetch BBG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350520</xdr:colOff>
          <xdr:row>3</xdr:row>
          <xdr:rowOff>129540</xdr:rowOff>
        </xdr:from>
        <xdr:to>
          <xdr:col>14</xdr:col>
          <xdr:colOff>99060</xdr:colOff>
          <xdr:row>5</xdr:row>
          <xdr:rowOff>38100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2) Import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266700</xdr:colOff>
          <xdr:row>4</xdr:row>
          <xdr:rowOff>114300</xdr:rowOff>
        </xdr:from>
        <xdr:to>
          <xdr:col>11</xdr:col>
          <xdr:colOff>1455420</xdr:colOff>
          <xdr:row>5</xdr:row>
          <xdr:rowOff>121920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Aptos Narrow"/>
                </a:rPr>
                <a:t>Force Refresh BBG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373380</xdr:colOff>
          <xdr:row>48</xdr:row>
          <xdr:rowOff>0</xdr:rowOff>
        </xdr:to>
        <xdr:sp macro="" textlink="">
          <xdr:nvSpPr>
            <xdr:cNvPr id="1140" name="Spinner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129540</xdr:colOff>
          <xdr:row>3</xdr:row>
          <xdr:rowOff>121920</xdr:rowOff>
        </xdr:from>
        <xdr:to>
          <xdr:col>18</xdr:col>
          <xdr:colOff>518160</xdr:colOff>
          <xdr:row>5</xdr:row>
          <xdr:rowOff>38100</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24</xdr:row>
      <xdr:rowOff>0</xdr:rowOff>
    </xdr:from>
    <xdr:to>
      <xdr:col>7</xdr:col>
      <xdr:colOff>0</xdr:colOff>
      <xdr:row>44</xdr:row>
      <xdr:rowOff>0</xdr:rowOff>
    </xdr:to>
    <xdr:graphicFrame macro="">
      <xdr:nvGraphicFramePr>
        <xdr:cNvPr id="5" name="Report_Chart_Final">
          <a:extLst>
            <a:ext uri="{FF2B5EF4-FFF2-40B4-BE49-F238E27FC236}">
              <a16:creationId xmlns:a16="http://schemas.microsoft.com/office/drawing/2014/main" id="{3250321C-E890-45AB-809E-2693F62101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14</xdr:row>
          <xdr:rowOff>167640</xdr:rowOff>
        </xdr:from>
        <xdr:to>
          <xdr:col>6</xdr:col>
          <xdr:colOff>1455420</xdr:colOff>
          <xdr:row>17</xdr:row>
          <xdr:rowOff>15240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Import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259080</xdr:colOff>
          <xdr:row>14</xdr:row>
          <xdr:rowOff>175260</xdr:rowOff>
        </xdr:from>
        <xdr:to>
          <xdr:col>5</xdr:col>
          <xdr:colOff>502920</xdr:colOff>
          <xdr:row>17</xdr:row>
          <xdr:rowOff>7620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Force Refresh Data</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C182EA2-3DE5-45D3-801E-477405087FFA}" name="StrategyList" displayName="StrategyList" ref="A1:U64" totalsRowShown="0">
  <autoFilter ref="A1:U64" xr:uid="{FC182EA2-3DE5-45D3-801E-477405087FFA}"/>
  <tableColumns count="21">
    <tableColumn id="1" xr3:uid="{8098BEC9-EBA4-4261-8D84-A322F11351BD}" name="ID"/>
    <tableColumn id="2" xr3:uid="{2C4CB65A-9E87-40B3-853F-6717FC3D93BA}" name="Group"/>
    <tableColumn id="3" xr3:uid="{57137F59-9144-4E69-90C8-0D7A828DE579}" name="Subgroup"/>
    <tableColumn id="4" xr3:uid="{67F8BC07-1AF4-4617-9945-E2077A86C4E6}" name="Strategy"/>
    <tableColumn id="5" xr3:uid="{8956A6EB-C7BC-4604-B0A3-71B81E3FD061}" name="Leg1_Type"/>
    <tableColumn id="6" xr3:uid="{5C72DA5B-A6B8-48B7-B5FD-FB0F96FDC0F3}" name="Leg1_Side"/>
    <tableColumn id="7" xr3:uid="{A888F9A5-136B-4F03-9956-ED52F551BA29}" name="Leg1_Ratio"/>
    <tableColumn id="8" xr3:uid="{772AAC41-80D1-48FE-A595-F0100AA02751}" name="Leg1_Strike"/>
    <tableColumn id="9" xr3:uid="{F730793F-E297-4A08-B2CA-F54B85C081B0}" name="Leg2_Type"/>
    <tableColumn id="10" xr3:uid="{011A930B-A359-43AE-A6CC-ECDFDC6A9BFF}" name="Leg2_Side"/>
    <tableColumn id="11" xr3:uid="{615F70C2-E1DB-4A0C-A84A-8D7D9866FD00}" name="Leg2_Ratio"/>
    <tableColumn id="12" xr3:uid="{B942E954-EF90-4B8B-9F3E-D459BC500026}" name="Leg2_Strike"/>
    <tableColumn id="13" xr3:uid="{B4C66BE1-DDAC-4F70-9862-1046A0213DCB}" name="Leg3_Type"/>
    <tableColumn id="14" xr3:uid="{E15664D8-A1F0-4A6A-A3DF-BD85BC7F45D3}" name="Leg3_Side"/>
    <tableColumn id="15" xr3:uid="{7928FD4D-DE5B-49C0-9018-BFD06246F671}" name="Leg3_Ratio"/>
    <tableColumn id="16" xr3:uid="{92DEB68A-DAB5-41B7-873F-DE7472954958}" name="Leg3_Strike"/>
    <tableColumn id="17" xr3:uid="{6A484A12-0C96-49C3-9B77-771E9316894A}" name="Leg4_Type"/>
    <tableColumn id="18" xr3:uid="{F9BC1955-DA9D-495C-A139-8AFA576B8D14}" name="Leg4_Side"/>
    <tableColumn id="19" xr3:uid="{9C57CCC6-89C1-451C-8CAD-F423B7F1B658}" name="Leg4_Ratio"/>
    <tableColumn id="20" xr3:uid="{BBFF3D2C-A0E3-47E8-A89D-B089AAA9FC3E}" name="Leg4_Strike"/>
    <tableColumn id="21" xr3:uid="{08724939-7508-4F90-ADA4-C42FB2C7A23E}"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09721B-0A95-4CE2-B126-207FA9A4C384}" name="AccountTypeMap" displayName="AccountTypeMap" ref="A1:N37" totalsRowShown="0">
  <autoFilter ref="A1:N37" xr:uid="{5D09721B-0A95-4CE2-B126-207FA9A4C384}"/>
  <tableColumns count="14">
    <tableColumn id="13" xr3:uid="{1D3782D6-5F13-4487-81EE-239E295A49B3}" name="AccountType" dataDxfId="17"/>
    <tableColumn id="14" xr3:uid="{679017CA-3BD1-4162-91E8-CBC2BCA623EA}" name="StrategyCode" dataDxfId="16"/>
    <tableColumn id="1" xr3:uid="{B4E77F4F-FA32-46B5-B118-D8540A5919CC}" name="StrategyName"/>
    <tableColumn id="2" xr3:uid="{3276BC5C-11ED-4BCA-A291-26A05AA79D6C}" name="Status"/>
    <tableColumn id="3" xr3:uid="{C80D4562-1844-49B7-88D6-F4F66C8127A2}" name="ConditionFlags"/>
    <tableColumn id="4" xr3:uid="{4860CBE7-3972-4A84-AEB4-0DA6A5220A14}" name="SubAccountTypeFlags"/>
    <tableColumn id="5" xr3:uid="{4EE5FD52-13F6-43F2-9AF6-F4345A05062A}" name="SubAccountOverrides"/>
    <tableColumn id="6" xr3:uid="{2B1B1679-9BF4-4C07-A72C-A2807A49C107}" name="Notes"/>
    <tableColumn id="7" xr3:uid="{72118D69-3495-4B6A-BE9A-AB603DA8135B}" name="CashEligibility"/>
    <tableColumn id="8" xr3:uid="{2783228D-2BE4-4B42-80F1-FD9460F7E4C4}" name="CollateralEligibility"/>
    <tableColumn id="9" xr3:uid="{18CBA06A-981E-473F-BC9D-8D6D5E03FA44}" name="CashText"/>
    <tableColumn id="10" xr3:uid="{F4ADE429-FC75-4631-BEA7-DDCFDD7A2F75}" name="CollateralText"/>
    <tableColumn id="11" xr3:uid="{7CCDBBB1-E400-4785-9034-8EFB4D2B073C}" name="SummaryEligibility"/>
    <tableColumn id="12" xr3:uid="{ABA1B96E-62DD-4278-B353-9FE9E05A3053}" name="SummaryTex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D4E4623-4371-46A7-ABFF-686C6CB5DA6F}" name="Margin_CBOE" displayName="Margin_CBOE" ref="A1:L69" totalsRowShown="0">
  <autoFilter ref="A1:L69" xr:uid="{0D4E4623-4371-46A7-ABFF-686C6CB5DA6F}"/>
  <tableColumns count="12">
    <tableColumn id="1" xr3:uid="{0C7D9B5C-B55D-4ECF-B7F2-B1DC24581E2C}" name="RecordType"/>
    <tableColumn id="2" xr3:uid="{1D95BF52-5D5F-4C1D-B055-D10016257353}" name="StrategyCode"/>
    <tableColumn id="3" xr3:uid="{45CB9B40-F1A5-4090-850E-8752EBA839CF}" name="StrategyName"/>
    <tableColumn id="4" xr3:uid="{20F29041-C6EE-4F3C-954E-57A97DE1D24C}" name="OptionType"/>
    <tableColumn id="5" xr3:uid="{EE401501-2E6D-474B-A9F0-C1A2EC9BABAC}" name="AccountType"/>
    <tableColumn id="6" xr3:uid="{7CD60509-B231-4E64-AE6F-3BAADD547828}" name="RequirementStage"/>
    <tableColumn id="7" xr3:uid="{0D7066A4-6C1E-4EF2-9705-79862BEDC840}" name="RequirementText"/>
    <tableColumn id="8" xr3:uid="{F936E3CB-8069-4381-94E5-EF2F0C95A692}" name="ConditionFlags"/>
    <tableColumn id="9" xr3:uid="{5730FA03-4270-44B4-8AB7-258A60C2753F}" name="Notes"/>
    <tableColumn id="10" xr3:uid="{7180CEFA-4EA3-4A7D-9E92-F8B29CBAE359}" name="FormulaCode"/>
    <tableColumn id="11" xr3:uid="{097E0C14-3D18-442D-8061-3E4ED955B932}" name="FormulaTemplate"/>
    <tableColumn id="12" xr3:uid="{80DBE925-287E-49F9-8BA1-5D927D279499}" name="FormulaVar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5557EB-805F-4293-A00C-ED6CAE846DCA}" name="ScenarioAdvisoryMap" displayName="ScenarioAdvisoryMap" ref="A1:C181" totalsRowShown="0" headerRowDxfId="15">
  <autoFilter ref="A1:C181" xr:uid="{235557EB-805F-4293-A00C-ED6CAE846DCA}"/>
  <tableColumns count="3">
    <tableColumn id="1" xr3:uid="{6ECDFB94-D324-4167-8A7E-793DC38D0D76}" name="Archetype"/>
    <tableColumn id="2" xr3:uid="{C6526659-23E0-4FBA-9DBC-D213070B6A62}" name="ScenarioKey"/>
    <tableColumn id="3" xr3:uid="{BDCF2E26-C3B2-4D10-89CB-A4DA1DEE3C91}" name="Template"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4.vml"/><Relationship Id="rId1" Type="http://schemas.openxmlformats.org/officeDocument/2006/relationships/drawing" Target="../drawings/drawing3.xml"/><Relationship Id="rId4" Type="http://schemas.openxmlformats.org/officeDocument/2006/relationships/ctrlProp" Target="../ctrlProps/ctrlProp2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3D31E-71C2-491E-BD05-90E2BB27A727}">
  <sheetPr codeName="Sheet1">
    <tabColor rgb="FFC00000"/>
  </sheetPr>
  <dimension ref="A1:AC60"/>
  <sheetViews>
    <sheetView showGridLines="0" tabSelected="1" topLeftCell="I19" zoomScale="85" zoomScaleNormal="85" workbookViewId="0">
      <selection activeCell="P30" sqref="P30"/>
    </sheetView>
  </sheetViews>
  <sheetFormatPr defaultRowHeight="14.4" x14ac:dyDescent="0.3"/>
  <cols>
    <col min="1" max="1" width="3.6640625" hidden="1" customWidth="1"/>
    <col min="2" max="2" width="6" customWidth="1"/>
    <col min="3" max="7" width="11.109375" customWidth="1"/>
    <col min="8" max="9" width="11.44140625" customWidth="1"/>
    <col min="10" max="10" width="12.88671875" customWidth="1"/>
    <col min="11" max="11" width="3.5546875" customWidth="1"/>
    <col min="12" max="12" width="24.6640625" bestFit="1" customWidth="1"/>
    <col min="13" max="14" width="10.5546875" customWidth="1"/>
    <col min="15" max="17" width="12.33203125" customWidth="1"/>
    <col min="18" max="18" width="11.6640625" customWidth="1"/>
    <col min="19" max="19" width="12.33203125" customWidth="1"/>
    <col min="20" max="20" width="3.44140625" customWidth="1"/>
    <col min="21" max="21" width="21.88671875" customWidth="1"/>
    <col min="22" max="22" width="13.33203125" customWidth="1"/>
    <col min="23" max="23" width="11" customWidth="1"/>
    <col min="24" max="28" width="8.33203125" customWidth="1"/>
  </cols>
  <sheetData>
    <row r="1" spans="3:28" x14ac:dyDescent="0.3">
      <c r="C1" s="160" t="s">
        <v>465</v>
      </c>
      <c r="D1" s="160"/>
      <c r="E1" s="160"/>
      <c r="F1" s="160"/>
      <c r="G1" s="160"/>
      <c r="H1" s="160"/>
      <c r="I1" s="160"/>
      <c r="J1" s="160"/>
    </row>
    <row r="2" spans="3:28" x14ac:dyDescent="0.3">
      <c r="C2" s="161"/>
      <c r="D2" s="161"/>
      <c r="E2" s="161"/>
      <c r="F2" s="161"/>
      <c r="G2" s="161"/>
      <c r="H2" s="161"/>
      <c r="I2" s="161"/>
      <c r="J2" s="161"/>
    </row>
    <row r="3" spans="3:28" x14ac:dyDescent="0.3">
      <c r="C3" s="164" t="s">
        <v>190</v>
      </c>
      <c r="D3" s="165"/>
      <c r="E3" s="166"/>
      <c r="F3" s="167" t="s">
        <v>85</v>
      </c>
      <c r="G3" s="165"/>
      <c r="H3" s="166"/>
      <c r="I3" s="167" t="s">
        <v>191</v>
      </c>
      <c r="J3" s="168"/>
      <c r="L3" s="55" t="s">
        <v>460</v>
      </c>
      <c r="M3" s="56"/>
      <c r="N3" s="56"/>
      <c r="O3" s="56"/>
      <c r="P3" s="56"/>
      <c r="Q3" s="56"/>
      <c r="R3" s="56"/>
      <c r="S3" s="57"/>
      <c r="U3" s="89" t="s">
        <v>1324</v>
      </c>
      <c r="V3" s="156"/>
      <c r="W3" s="156"/>
      <c r="X3" s="56"/>
      <c r="Y3" s="56"/>
      <c r="Z3" s="56"/>
      <c r="AA3" s="56"/>
      <c r="AB3" s="57"/>
    </row>
    <row r="4" spans="3:28" x14ac:dyDescent="0.3">
      <c r="C4" s="24" t="s">
        <v>86</v>
      </c>
      <c r="D4" s="162" t="s">
        <v>778</v>
      </c>
      <c r="E4" s="162"/>
      <c r="F4" s="25" t="s">
        <v>1</v>
      </c>
      <c r="G4" s="162" t="s">
        <v>95</v>
      </c>
      <c r="H4" s="162"/>
      <c r="I4" s="25" t="s">
        <v>122</v>
      </c>
      <c r="J4" s="35" t="s">
        <v>172</v>
      </c>
      <c r="L4" s="49"/>
      <c r="S4" s="50"/>
      <c r="U4" s="135" t="s">
        <v>815</v>
      </c>
      <c r="V4" s="135" t="s">
        <v>816</v>
      </c>
      <c r="W4" s="135" t="s">
        <v>824</v>
      </c>
    </row>
    <row r="5" spans="3:28" x14ac:dyDescent="0.3">
      <c r="C5" s="26" t="s">
        <v>87</v>
      </c>
      <c r="D5" s="27">
        <v>479.28</v>
      </c>
      <c r="E5" s="28"/>
      <c r="F5" s="22" t="s">
        <v>2</v>
      </c>
      <c r="G5" s="162" t="s">
        <v>96</v>
      </c>
      <c r="H5" s="162"/>
      <c r="I5" s="22" t="s">
        <v>189</v>
      </c>
      <c r="J5" s="36">
        <v>46101</v>
      </c>
      <c r="L5" s="49"/>
      <c r="S5" s="50"/>
      <c r="U5" s="187" t="s">
        <v>918</v>
      </c>
      <c r="V5" s="187" t="s">
        <v>817</v>
      </c>
      <c r="W5" s="187" t="s">
        <v>846</v>
      </c>
    </row>
    <row r="6" spans="3:28" x14ac:dyDescent="0.3">
      <c r="C6" s="29" t="s">
        <v>565</v>
      </c>
      <c r="D6" s="95">
        <v>30</v>
      </c>
      <c r="E6" s="30"/>
      <c r="F6" s="31" t="s">
        <v>3</v>
      </c>
      <c r="G6" s="163" t="s">
        <v>62</v>
      </c>
      <c r="H6" s="163"/>
      <c r="I6" s="31"/>
      <c r="J6" s="32">
        <f ca="1">IFERROR(IF(Sel_ExpiryDate="","",Sel_ExpiryDate - TODAY()), "-")</f>
        <v>67</v>
      </c>
      <c r="L6" s="51"/>
      <c r="M6" s="52"/>
      <c r="N6" s="52"/>
      <c r="O6" s="53"/>
      <c r="P6" s="52"/>
      <c r="Q6" s="52"/>
      <c r="R6" s="52"/>
      <c r="S6" s="54"/>
      <c r="U6" s="187" t="s">
        <v>919</v>
      </c>
      <c r="V6" s="187" t="s">
        <v>818</v>
      </c>
      <c r="W6" s="187" t="s">
        <v>863</v>
      </c>
    </row>
    <row r="7" spans="3:28" x14ac:dyDescent="0.3">
      <c r="L7" s="46"/>
      <c r="M7" s="47"/>
      <c r="N7" s="47"/>
      <c r="O7" s="47"/>
      <c r="P7" s="47"/>
      <c r="Q7" s="47"/>
      <c r="R7" s="47"/>
      <c r="S7" s="48"/>
      <c r="U7" s="187" t="s">
        <v>920</v>
      </c>
      <c r="V7" s="187" t="s">
        <v>817</v>
      </c>
      <c r="W7" s="187" t="s">
        <v>885</v>
      </c>
    </row>
    <row r="8" spans="3:28" x14ac:dyDescent="0.3">
      <c r="C8" s="58" t="s">
        <v>461</v>
      </c>
      <c r="D8" s="59"/>
      <c r="E8" s="59"/>
      <c r="F8" s="60"/>
      <c r="G8" s="60"/>
      <c r="H8" s="60"/>
      <c r="I8" s="60"/>
      <c r="J8" s="61"/>
      <c r="L8" s="117" t="s">
        <v>192</v>
      </c>
      <c r="P8" s="1"/>
      <c r="S8" s="50"/>
      <c r="U8" s="187" t="s">
        <v>921</v>
      </c>
      <c r="V8" s="187" t="s">
        <v>818</v>
      </c>
      <c r="W8" s="187" t="s">
        <v>901</v>
      </c>
    </row>
    <row r="9" spans="3:28" x14ac:dyDescent="0.3">
      <c r="C9" s="77" t="s">
        <v>120</v>
      </c>
      <c r="D9" s="78" t="s">
        <v>121</v>
      </c>
      <c r="E9" s="78" t="s">
        <v>122</v>
      </c>
      <c r="F9" s="79" t="s">
        <v>16</v>
      </c>
      <c r="G9" s="78" t="s">
        <v>123</v>
      </c>
      <c r="H9" s="78" t="s">
        <v>124</v>
      </c>
      <c r="I9" s="78" t="s">
        <v>125</v>
      </c>
      <c r="J9" s="80" t="s">
        <v>126</v>
      </c>
      <c r="L9" s="118" t="s">
        <v>137</v>
      </c>
      <c r="M9" s="159" t="s">
        <v>130</v>
      </c>
      <c r="N9" s="159"/>
      <c r="O9" s="119"/>
      <c r="P9" s="120" t="s">
        <v>135</v>
      </c>
      <c r="Q9" s="120"/>
      <c r="R9" s="120" t="s">
        <v>136</v>
      </c>
      <c r="S9" s="121"/>
    </row>
    <row r="10" spans="3:28" x14ac:dyDescent="0.3">
      <c r="C10" s="26"/>
      <c r="D10" s="222">
        <v>150</v>
      </c>
      <c r="E10" s="81" t="s">
        <v>35</v>
      </c>
      <c r="F10" s="82"/>
      <c r="G10" s="223">
        <v>340</v>
      </c>
      <c r="H10" s="23">
        <f>Stock_Pos*-Stock_AvgCost</f>
        <v>-51000</v>
      </c>
      <c r="I10" s="23">
        <f>D10 * IF(E10="Call", MAX(Val_Spot - F10, 0) * 100, IF(E10="Put", MAX(F10 - Val_Spot, 0) * 100, IF(E10="Stock", Val_Spot, 0)))</f>
        <v>71892</v>
      </c>
      <c r="J10" s="83">
        <f>I10+H10</f>
        <v>20892</v>
      </c>
      <c r="L10" s="158" t="s">
        <v>771</v>
      </c>
      <c r="M10" s="122"/>
      <c r="N10" s="123"/>
      <c r="O10" s="123"/>
      <c r="P10" s="123"/>
      <c r="Q10" s="123"/>
      <c r="R10" s="123"/>
      <c r="S10" s="124"/>
    </row>
    <row r="11" spans="3:28" x14ac:dyDescent="0.3">
      <c r="C11" s="26">
        <v>1</v>
      </c>
      <c r="D11" s="224">
        <v>1</v>
      </c>
      <c r="E11" s="225" t="s">
        <v>19</v>
      </c>
      <c r="F11" s="226">
        <v>400</v>
      </c>
      <c r="G11" s="227">
        <v>2.2400000000000002</v>
      </c>
      <c r="H11" s="23">
        <f>-Leg1_Pos*Leg1_Price*100</f>
        <v>-224.00000000000003</v>
      </c>
      <c r="I11" s="23">
        <f>D11 * IF(E11="Call", MAX(Val_Spot - F11, 0) * 100, IF(E11="Put", MAX(F11 - Val_Spot, 0) * 100, IF(E11="Stock", Val_Spot, 0)))</f>
        <v>0</v>
      </c>
      <c r="J11" s="83">
        <f>H11+I11</f>
        <v>-224.00000000000003</v>
      </c>
      <c r="L11" s="158"/>
      <c r="M11" s="122"/>
      <c r="N11" s="123"/>
      <c r="O11" s="123"/>
      <c r="P11" s="123"/>
      <c r="Q11" s="123"/>
      <c r="R11" s="123"/>
      <c r="S11" s="124"/>
    </row>
    <row r="12" spans="3:28" x14ac:dyDescent="0.3">
      <c r="C12" s="26">
        <v>2</v>
      </c>
      <c r="D12" s="224">
        <v>-1</v>
      </c>
      <c r="E12" s="225" t="s">
        <v>19</v>
      </c>
      <c r="F12" s="226">
        <v>450</v>
      </c>
      <c r="G12" s="227">
        <v>9.5</v>
      </c>
      <c r="H12" s="23">
        <f>-Leg2_Pos*Leg2_Price*100</f>
        <v>950</v>
      </c>
      <c r="I12" s="23">
        <f>D12 * IF(E12="Call", MAX(Val_Spot - F12, 0) * 100, IF(E12="Put", MAX(F12 - Val_Spot, 0) * 100, IF(E12="Stock", Val_Spot, 0)))</f>
        <v>0</v>
      </c>
      <c r="J12" s="83">
        <f t="shared" ref="J12:J14" si="0">H12+I12</f>
        <v>950</v>
      </c>
      <c r="L12" s="158" t="s">
        <v>772</v>
      </c>
      <c r="M12" s="125"/>
      <c r="N12" s="123"/>
      <c r="O12" s="123"/>
      <c r="P12" s="123"/>
      <c r="Q12" s="123"/>
      <c r="R12" s="123"/>
      <c r="S12" s="124"/>
    </row>
    <row r="13" spans="3:28" x14ac:dyDescent="0.3">
      <c r="C13" s="26">
        <v>3</v>
      </c>
      <c r="D13" s="224">
        <v>-1</v>
      </c>
      <c r="E13" s="225" t="s">
        <v>14</v>
      </c>
      <c r="F13" s="226">
        <v>500</v>
      </c>
      <c r="G13" s="227">
        <v>13.5</v>
      </c>
      <c r="H13" s="23">
        <f>-Leg3_Pos*Leg3_Price*100</f>
        <v>1350</v>
      </c>
      <c r="I13" s="23">
        <f>D13 * IF(E13="Call", MAX(Val_Spot - F13, 0) * 100, IF(E13="Put", MAX(F13 - Val_Spot, 0) * 100, IF(E13="Stock", Val_Spot, 0)))</f>
        <v>0</v>
      </c>
      <c r="J13" s="83">
        <f t="shared" si="0"/>
        <v>1350</v>
      </c>
      <c r="L13" s="158"/>
      <c r="M13" s="125"/>
      <c r="N13" s="123"/>
      <c r="O13" s="123"/>
      <c r="P13" s="123"/>
      <c r="Q13" s="123"/>
      <c r="R13" s="123"/>
      <c r="S13" s="124"/>
    </row>
    <row r="14" spans="3:28" x14ac:dyDescent="0.3">
      <c r="C14" s="26">
        <v>4</v>
      </c>
      <c r="D14" s="224">
        <v>1</v>
      </c>
      <c r="E14" s="225" t="s">
        <v>14</v>
      </c>
      <c r="F14" s="226">
        <v>550</v>
      </c>
      <c r="G14" s="227">
        <v>2.89</v>
      </c>
      <c r="H14" s="23">
        <f>-Leg4_Pos*Leg4_Price*100</f>
        <v>-289</v>
      </c>
      <c r="I14" s="23">
        <f>D14 * IF(E14="Call", MAX(Val_Spot - F14, 0) * 100, IF(E14="Put", MAX(F14 - Val_Spot, 0) * 100, IF(E14="Stock", Val_Spot, 0)))</f>
        <v>0</v>
      </c>
      <c r="J14" s="83">
        <f t="shared" si="0"/>
        <v>-289</v>
      </c>
      <c r="L14" s="126"/>
      <c r="M14" s="123"/>
      <c r="N14" s="123"/>
      <c r="O14" s="123"/>
      <c r="P14" s="123"/>
      <c r="Q14" s="123"/>
      <c r="R14" s="123"/>
      <c r="S14" s="124"/>
    </row>
    <row r="15" spans="3:28" x14ac:dyDescent="0.3">
      <c r="C15" s="84"/>
      <c r="D15" s="85"/>
      <c r="E15" s="85"/>
      <c r="F15" s="85"/>
      <c r="G15" s="86" t="s">
        <v>129</v>
      </c>
      <c r="H15" s="87">
        <f>SUM(H11:H14)</f>
        <v>1787</v>
      </c>
      <c r="I15" s="87">
        <f>SUM(I11:I14)</f>
        <v>0</v>
      </c>
      <c r="J15" s="88">
        <f>SUM(J11:J14)</f>
        <v>1787</v>
      </c>
      <c r="L15" s="127"/>
      <c r="M15" s="128"/>
      <c r="N15" s="128"/>
      <c r="O15" s="128"/>
      <c r="P15" s="128"/>
      <c r="Q15" s="128"/>
      <c r="R15" s="128"/>
      <c r="S15" s="129"/>
    </row>
    <row r="17" spans="12:29" x14ac:dyDescent="0.3">
      <c r="L17" s="89" t="s">
        <v>462</v>
      </c>
      <c r="M17" s="90"/>
      <c r="N17" s="90"/>
      <c r="O17" s="59"/>
      <c r="P17" s="59"/>
      <c r="Q17" s="59" t="s">
        <v>205</v>
      </c>
      <c r="R17" s="90"/>
      <c r="S17" s="90"/>
      <c r="U17" s="89" t="s">
        <v>1326</v>
      </c>
      <c r="V17" s="156"/>
      <c r="W17" s="156"/>
      <c r="X17" s="156"/>
      <c r="Y17" s="156"/>
      <c r="Z17" s="156"/>
      <c r="AA17" s="56"/>
      <c r="AB17" s="57"/>
    </row>
    <row r="18" spans="12:29" x14ac:dyDescent="0.3">
      <c r="L18" s="41" t="s">
        <v>232</v>
      </c>
      <c r="M18" s="148" t="s">
        <v>193</v>
      </c>
      <c r="N18" s="41" t="s">
        <v>194</v>
      </c>
      <c r="R18" s="3" t="s">
        <v>196</v>
      </c>
      <c r="S18" s="130" cm="1">
        <f t="array" ref="S18">GetStrategyPoP(Val_Spot, BBG_IVOL, BBG_DTE, Strat_Pos, Strat_Type, Strat_Strike, Strat_Price, BBG_RF, BBG_Div)</f>
        <v>0.99498774395196932</v>
      </c>
      <c r="U18" s="41" t="s">
        <v>195</v>
      </c>
      <c r="V18" s="40" t="s">
        <v>88</v>
      </c>
      <c r="W18" s="40" t="s">
        <v>226</v>
      </c>
      <c r="X18" s="40" t="s">
        <v>132</v>
      </c>
      <c r="Y18" s="40" t="s">
        <v>133</v>
      </c>
      <c r="Z18" s="40" t="s">
        <v>775</v>
      </c>
      <c r="AA18" s="40" t="s">
        <v>253</v>
      </c>
      <c r="AB18" s="40" t="s">
        <v>254</v>
      </c>
      <c r="AC18" s="41" t="s">
        <v>251</v>
      </c>
    </row>
    <row r="19" spans="12:29" x14ac:dyDescent="0.3">
      <c r="L19" s="181" t="s">
        <v>233</v>
      </c>
      <c r="M19" s="182">
        <v>1787</v>
      </c>
      <c r="N19" s="182" t="s">
        <v>252</v>
      </c>
      <c r="R19" s="3" t="s">
        <v>197</v>
      </c>
      <c r="S19" s="130" cm="1">
        <f t="array" ref="S19">GetStrategyAssignProb(Val_Spot, BBG_IVOL, BBG_DTE, Strat_Pos, Strat_Type, Strat_Strike, BBG_RF, BBG_Div)</f>
        <v>0.69077117126856735</v>
      </c>
      <c r="U19" s="17" t="s">
        <v>229</v>
      </c>
      <c r="V19" s="38">
        <v>0</v>
      </c>
      <c r="W19" s="39">
        <v>-1</v>
      </c>
      <c r="X19" s="38">
        <v>-51000</v>
      </c>
      <c r="Y19" s="38">
        <v>-3213</v>
      </c>
      <c r="Z19" s="39">
        <v>-1</v>
      </c>
      <c r="AA19" s="38">
        <v>-54213</v>
      </c>
      <c r="AB19" s="39">
        <v>-1</v>
      </c>
      <c r="AC19" s="45" t="s">
        <v>1346</v>
      </c>
    </row>
    <row r="20" spans="12:29" x14ac:dyDescent="0.3">
      <c r="L20" s="181" t="s">
        <v>234</v>
      </c>
      <c r="M20" s="182">
        <v>-3213.0000000000073</v>
      </c>
      <c r="N20" s="182">
        <v>-54213</v>
      </c>
      <c r="R20" s="3" t="s">
        <v>561</v>
      </c>
      <c r="S20" s="130" cm="1">
        <f t="array" aca="1" ref="S20" ca="1">IF(Net_Prem &lt; 0,
    GetStrategyTargetProb(Val_Spot, Strat_IVOL, BBG_DTE, Strat_Pos, Strat_Type, Strat_Strike, Strat_Price, ABS(Net_Prem/100), BBG_RF, BBG_Div),
    GetStrategyTargetProb(Val_Spot, Strat_IVOL, BBG_DTE, Strat_Pos, Strat_Type, Strat_Strike, Strat_Price, ABS(Net_Prem/100)*0.25, BBG_RF, BBG_Div))</f>
        <v>0.99827746716786303</v>
      </c>
      <c r="U20" s="17" t="s">
        <v>317</v>
      </c>
      <c r="V20" s="38">
        <v>340</v>
      </c>
      <c r="W20" s="39">
        <v>-0.29060257052245031</v>
      </c>
      <c r="X20" s="38">
        <v>0</v>
      </c>
      <c r="Y20" s="38">
        <v>-3213</v>
      </c>
      <c r="Z20" s="39">
        <v>-1</v>
      </c>
      <c r="AA20" s="38">
        <v>-3213</v>
      </c>
      <c r="AB20" s="39">
        <v>-5.9266227657572904E-2</v>
      </c>
      <c r="AC20" s="45" t="s">
        <v>1357</v>
      </c>
    </row>
    <row r="21" spans="12:29" x14ac:dyDescent="0.3">
      <c r="L21" s="181" t="s">
        <v>715</v>
      </c>
      <c r="M21" s="182">
        <v>3213</v>
      </c>
      <c r="N21" s="182">
        <v>54213</v>
      </c>
      <c r="R21" s="3" t="s">
        <v>562</v>
      </c>
      <c r="S21" s="130" cm="1">
        <f t="array" aca="1" ref="S21" ca="1">IF(Net_Prem &lt; 0,
    GetStrategyTargetProb(Val_Spot, Strat_IVOL, BBG_DTE, Strat_Pos, Strat_Type, Strat_Strike, Strat_Price, ABS(Net_Prem/100)*2, BBG_RF, BBG_Div),
    GetStrategyTargetProb(Val_Spot, Strat_IVOL, BBG_DTE, Strat_Pos, Strat_Type, Strat_Strike, Strat_Price, ABS(Net_Prem/100)*0.5, BBG_RF, BBG_Div))</f>
        <v>0.99827746716786303</v>
      </c>
      <c r="U21" s="17" t="s">
        <v>255</v>
      </c>
      <c r="V21" s="38">
        <v>361.42</v>
      </c>
      <c r="W21" s="39">
        <v>-0.24591053246536465</v>
      </c>
      <c r="X21" s="38">
        <v>3213.0000000000023</v>
      </c>
      <c r="Y21" s="38">
        <v>-3213</v>
      </c>
      <c r="Z21" s="39">
        <v>-1</v>
      </c>
      <c r="AA21" s="38">
        <v>2.2737367544323206E-12</v>
      </c>
      <c r="AB21" s="39">
        <v>4.1940803025700858E-17</v>
      </c>
      <c r="AC21" s="17" t="s">
        <v>1378</v>
      </c>
    </row>
    <row r="22" spans="12:29" x14ac:dyDescent="0.3">
      <c r="L22" s="181" t="s">
        <v>716</v>
      </c>
      <c r="M22" s="183">
        <v>0.55617802676626205</v>
      </c>
      <c r="N22" s="183" t="s">
        <v>252</v>
      </c>
      <c r="R22" s="3" t="s">
        <v>563</v>
      </c>
      <c r="S22" s="130" cm="1">
        <f t="array" aca="1" ref="S22" ca="1">IF(Net_Prem &lt; 0,
    GetStrategyTargetProb(Val_Spot, Strat_IVOL, BBG_DTE, Strat_Pos, Strat_Type, Strat_Strike, Strat_Price, ABS(Net_Prem/100)*4, BBG_RF, BBG_Div),
    GetStrategyTargetProb(Val_Spot, Strat_IVOL, BBG_DTE, Strat_Pos, Strat_Type, Strat_Strike, Strat_Price, ABS(Net_Prem/100), BBG_RF, BBG_Div))</f>
        <v>0.99827746716786303</v>
      </c>
      <c r="U22" s="17" t="s">
        <v>238</v>
      </c>
      <c r="V22" s="38">
        <v>400</v>
      </c>
      <c r="W22" s="39">
        <v>-0.16541478884994154</v>
      </c>
      <c r="X22" s="38">
        <v>9000</v>
      </c>
      <c r="Y22" s="38">
        <v>-3213</v>
      </c>
      <c r="Z22" s="39">
        <v>-1</v>
      </c>
      <c r="AA22" s="38">
        <v>5787</v>
      </c>
      <c r="AB22" s="39">
        <v>0.10674561452050246</v>
      </c>
      <c r="AC22" s="45" t="s">
        <v>1358</v>
      </c>
    </row>
    <row r="23" spans="12:29" x14ac:dyDescent="0.3">
      <c r="L23" s="181" t="s">
        <v>717</v>
      </c>
      <c r="M23" s="183">
        <v>-1.0000000000000022</v>
      </c>
      <c r="N23" s="183">
        <v>-1</v>
      </c>
      <c r="U23" s="17" t="s">
        <v>467</v>
      </c>
      <c r="V23" s="38">
        <v>450</v>
      </c>
      <c r="W23" s="39">
        <v>-6.109163745618422E-2</v>
      </c>
      <c r="X23" s="38">
        <v>16500</v>
      </c>
      <c r="Y23" s="38">
        <v>1787</v>
      </c>
      <c r="Z23" s="39">
        <v>0.55617802676626205</v>
      </c>
      <c r="AA23" s="38">
        <v>18287</v>
      </c>
      <c r="AB23" s="39">
        <v>0.33731761754560713</v>
      </c>
      <c r="AC23" s="45" t="s">
        <v>1360</v>
      </c>
    </row>
    <row r="24" spans="12:29" x14ac:dyDescent="0.3">
      <c r="L24" s="181" t="s">
        <v>718</v>
      </c>
      <c r="M24" s="183">
        <v>3.029925071189338</v>
      </c>
      <c r="N24" s="183" t="s">
        <v>252</v>
      </c>
      <c r="U24" s="42" t="s">
        <v>228</v>
      </c>
      <c r="V24" s="43">
        <v>479.28</v>
      </c>
      <c r="W24" s="44">
        <v>0</v>
      </c>
      <c r="X24" s="43">
        <v>20891.999999999996</v>
      </c>
      <c r="Y24" s="43">
        <v>1787</v>
      </c>
      <c r="Z24" s="44">
        <v>0.55617802676626205</v>
      </c>
      <c r="AA24" s="43">
        <v>22678.999999999996</v>
      </c>
      <c r="AB24" s="44">
        <v>0.41833139652850787</v>
      </c>
      <c r="AC24" s="42" t="s">
        <v>1379</v>
      </c>
    </row>
    <row r="25" spans="12:29" x14ac:dyDescent="0.3">
      <c r="L25" s="181" t="s">
        <v>235</v>
      </c>
      <c r="M25" s="184">
        <v>0.55617802676626082</v>
      </c>
      <c r="N25" s="184" t="s">
        <v>185</v>
      </c>
      <c r="U25" s="17" t="s">
        <v>468</v>
      </c>
      <c r="V25" s="38">
        <v>500</v>
      </c>
      <c r="W25" s="39">
        <v>4.3231513937573088E-2</v>
      </c>
      <c r="X25" s="38">
        <v>24000</v>
      </c>
      <c r="Y25" s="38">
        <v>1787</v>
      </c>
      <c r="Z25" s="39">
        <v>0.55617802676626205</v>
      </c>
      <c r="AA25" s="38">
        <v>25787</v>
      </c>
      <c r="AB25" s="39">
        <v>0.47566081936066995</v>
      </c>
      <c r="AC25" s="45" t="s">
        <v>1360</v>
      </c>
    </row>
    <row r="26" spans="12:29" x14ac:dyDescent="0.3">
      <c r="L26" s="181" t="s">
        <v>237</v>
      </c>
      <c r="M26" s="182">
        <v>-1787</v>
      </c>
      <c r="N26" s="182">
        <v>49213</v>
      </c>
      <c r="U26" s="17" t="s">
        <v>469</v>
      </c>
      <c r="V26" s="38">
        <v>550</v>
      </c>
      <c r="W26" s="39">
        <v>0.14755466533133038</v>
      </c>
      <c r="X26" s="38">
        <v>31500</v>
      </c>
      <c r="Y26" s="38">
        <v>-3213</v>
      </c>
      <c r="Z26" s="39">
        <v>-1</v>
      </c>
      <c r="AA26" s="38">
        <v>28287</v>
      </c>
      <c r="AB26" s="39">
        <v>0.52177521996569087</v>
      </c>
      <c r="AC26" s="45" t="s">
        <v>1348</v>
      </c>
    </row>
    <row r="27" spans="12:29" x14ac:dyDescent="0.3">
      <c r="L27" s="181" t="s">
        <v>236</v>
      </c>
      <c r="M27" s="182">
        <v>191712</v>
      </c>
      <c r="N27" s="182">
        <v>263604</v>
      </c>
      <c r="U27" s="17" t="s">
        <v>230</v>
      </c>
      <c r="V27" s="38" t="s">
        <v>231</v>
      </c>
      <c r="W27" s="39" t="s">
        <v>239</v>
      </c>
      <c r="X27" s="38" t="s">
        <v>231</v>
      </c>
      <c r="Y27" s="38">
        <v>-3213</v>
      </c>
      <c r="Z27" s="39">
        <v>-1</v>
      </c>
      <c r="AA27" s="38" t="s">
        <v>252</v>
      </c>
      <c r="AB27" s="39" t="s">
        <v>252</v>
      </c>
      <c r="AC27" s="45" t="s">
        <v>1350</v>
      </c>
    </row>
    <row r="28" spans="12:29" x14ac:dyDescent="0.3">
      <c r="L28" s="181" t="s">
        <v>719</v>
      </c>
      <c r="M28" s="182">
        <v>-17.87</v>
      </c>
      <c r="N28" s="182">
        <v>-17.87</v>
      </c>
    </row>
    <row r="29" spans="12:29" x14ac:dyDescent="0.3">
      <c r="L29" s="181" t="s">
        <v>720</v>
      </c>
      <c r="M29" s="183">
        <v>-3.7285094308128867E-2</v>
      </c>
      <c r="N29" s="183">
        <v>-3.7285094308128867E-2</v>
      </c>
    </row>
    <row r="30" spans="12:29" x14ac:dyDescent="0.3">
      <c r="L30" s="181" t="s">
        <v>721</v>
      </c>
      <c r="M30" s="182">
        <v>517.87</v>
      </c>
      <c r="N30" s="182">
        <v>361.42</v>
      </c>
    </row>
    <row r="31" spans="12:29" x14ac:dyDescent="0.3">
      <c r="L31" s="181" t="s">
        <v>722</v>
      </c>
      <c r="M31" s="183">
        <v>8.0516608245701962E-2</v>
      </c>
      <c r="N31" s="183">
        <v>-0.24591053246536465</v>
      </c>
    </row>
    <row r="32" spans="12:29" x14ac:dyDescent="0.3">
      <c r="L32" s="181" t="s">
        <v>723</v>
      </c>
      <c r="M32" s="182">
        <v>47.149999999999977</v>
      </c>
      <c r="N32" s="182">
        <v>117.85999999999996</v>
      </c>
    </row>
    <row r="33" spans="2:28" x14ac:dyDescent="0.3">
      <c r="L33" s="181" t="s">
        <v>724</v>
      </c>
      <c r="M33" s="183">
        <v>9.8376731764313094E-2</v>
      </c>
      <c r="N33" s="183">
        <v>0.24591053246536465</v>
      </c>
    </row>
    <row r="34" spans="2:28" x14ac:dyDescent="0.3">
      <c r="L34" s="181" t="s">
        <v>1339</v>
      </c>
      <c r="M34" s="182" t="s">
        <v>185</v>
      </c>
      <c r="N34" s="182" t="s">
        <v>185</v>
      </c>
    </row>
    <row r="35" spans="2:28" x14ac:dyDescent="0.3">
      <c r="L35" s="181"/>
      <c r="M35" s="182"/>
      <c r="N35" s="182"/>
    </row>
    <row r="36" spans="2:28" x14ac:dyDescent="0.3">
      <c r="L36" s="181"/>
      <c r="M36" s="182"/>
      <c r="N36" s="182"/>
    </row>
    <row r="37" spans="2:28" x14ac:dyDescent="0.3">
      <c r="L37" s="142"/>
      <c r="M37" s="144"/>
      <c r="N37" s="143"/>
    </row>
    <row r="38" spans="2:28" x14ac:dyDescent="0.3">
      <c r="L38" s="142"/>
      <c r="M38" s="38"/>
      <c r="N38" s="103"/>
    </row>
    <row r="39" spans="2:28" x14ac:dyDescent="0.3">
      <c r="L39" s="58" t="s">
        <v>566</v>
      </c>
      <c r="M39" s="59"/>
      <c r="N39" s="59"/>
      <c r="O39" s="59"/>
      <c r="P39" s="59"/>
      <c r="Q39" s="59" t="s">
        <v>1323</v>
      </c>
      <c r="R39" s="59"/>
      <c r="S39" s="76"/>
      <c r="U39" s="89" t="s">
        <v>1325</v>
      </c>
      <c r="V39" s="156"/>
      <c r="W39" s="156"/>
      <c r="X39" s="156"/>
      <c r="Y39" s="156"/>
      <c r="Z39" s="156"/>
      <c r="AA39" s="56"/>
      <c r="AB39" s="57"/>
    </row>
    <row r="40" spans="2:28" x14ac:dyDescent="0.3">
      <c r="L40" s="152" t="s">
        <v>767</v>
      </c>
      <c r="M40" s="116" t="s">
        <v>1361</v>
      </c>
      <c r="R40" s="104" t="s">
        <v>1301</v>
      </c>
      <c r="S40" s="153">
        <v>300000</v>
      </c>
      <c r="U40" s="146" t="s">
        <v>1307</v>
      </c>
      <c r="V40" s="146" t="s">
        <v>1308</v>
      </c>
      <c r="W40" s="146" t="s">
        <v>1309</v>
      </c>
      <c r="X40" s="147" t="s">
        <v>1310</v>
      </c>
      <c r="Y40" s="146" t="s">
        <v>1311</v>
      </c>
      <c r="Z40" s="146" t="s">
        <v>169</v>
      </c>
    </row>
    <row r="41" spans="2:28" x14ac:dyDescent="0.3">
      <c r="L41" s="96" t="s">
        <v>769</v>
      </c>
      <c r="M41" s="116" t="s">
        <v>478</v>
      </c>
      <c r="R41" s="104" t="s">
        <v>1304</v>
      </c>
      <c r="S41" s="153">
        <v>5000</v>
      </c>
      <c r="U41" s="187" t="s">
        <v>1321</v>
      </c>
      <c r="V41" s="187" t="s">
        <v>1312</v>
      </c>
      <c r="W41" s="187" t="s">
        <v>1313</v>
      </c>
      <c r="X41" s="193" t="s">
        <v>185</v>
      </c>
      <c r="Y41" s="187" t="s">
        <v>1065</v>
      </c>
      <c r="Z41" s="187" t="s">
        <v>1351</v>
      </c>
    </row>
    <row r="42" spans="2:28" x14ac:dyDescent="0.3">
      <c r="L42" s="96" t="s">
        <v>188</v>
      </c>
      <c r="M42" s="116">
        <v>3.6</v>
      </c>
      <c r="R42" s="104" t="s">
        <v>1303</v>
      </c>
      <c r="S42" s="153">
        <v>4000</v>
      </c>
      <c r="U42" s="187" t="s">
        <v>1367</v>
      </c>
      <c r="V42" s="187" t="s">
        <v>1314</v>
      </c>
      <c r="W42" s="187" t="s">
        <v>1313</v>
      </c>
      <c r="X42" s="193">
        <v>39159</v>
      </c>
      <c r="Y42" s="187" t="s">
        <v>1376</v>
      </c>
      <c r="Z42" s="187" t="s">
        <v>1377</v>
      </c>
    </row>
    <row r="43" spans="2:28" x14ac:dyDescent="0.3">
      <c r="C43" s="58" t="s">
        <v>466</v>
      </c>
      <c r="D43" s="59"/>
      <c r="E43" s="59"/>
      <c r="F43" s="60"/>
      <c r="G43" s="60"/>
      <c r="H43" s="60"/>
      <c r="I43" s="60"/>
      <c r="J43" s="61"/>
      <c r="L43" s="96" t="s">
        <v>770</v>
      </c>
      <c r="M43" s="116" t="s">
        <v>128</v>
      </c>
      <c r="N43" s="157">
        <v>-0.3</v>
      </c>
      <c r="O43" s="157">
        <v>0.3</v>
      </c>
      <c r="R43" s="104" t="s">
        <v>1302</v>
      </c>
      <c r="S43" s="153">
        <v>0</v>
      </c>
      <c r="U43" s="187" t="s">
        <v>1367</v>
      </c>
      <c r="V43" s="187" t="s">
        <v>1314</v>
      </c>
      <c r="W43" s="187" t="s">
        <v>1315</v>
      </c>
      <c r="X43" s="193">
        <v>21186</v>
      </c>
      <c r="Y43" s="187" t="s">
        <v>1376</v>
      </c>
      <c r="Z43" s="187" t="s">
        <v>1377</v>
      </c>
    </row>
    <row r="44" spans="2:28" x14ac:dyDescent="0.3">
      <c r="C44" s="64" t="s">
        <v>195</v>
      </c>
      <c r="D44" s="63">
        <f>-3*Val_ScenStep</f>
        <v>-0.12</v>
      </c>
      <c r="E44" s="63">
        <f>-2*Val_ScenStep</f>
        <v>-0.08</v>
      </c>
      <c r="F44" s="63">
        <f>-Val_ScenStep</f>
        <v>-0.04</v>
      </c>
      <c r="G44" s="62" t="s">
        <v>88</v>
      </c>
      <c r="H44" s="63">
        <f>Val_ScenStep</f>
        <v>0.04</v>
      </c>
      <c r="I44" s="63">
        <f>2*Val_ScenStep</f>
        <v>0.08</v>
      </c>
      <c r="J44" s="65">
        <f>3*Val_ScenStep</f>
        <v>0.12</v>
      </c>
      <c r="L44" s="152" t="s">
        <v>768</v>
      </c>
      <c r="M44" s="116" t="s">
        <v>1366</v>
      </c>
      <c r="S44" s="50"/>
      <c r="U44" s="191"/>
      <c r="V44" s="191"/>
      <c r="W44" s="191"/>
      <c r="X44" s="191"/>
      <c r="Y44" s="191"/>
      <c r="Z44" s="191"/>
    </row>
    <row r="45" spans="2:28" x14ac:dyDescent="0.3">
      <c r="C45" s="66" t="s">
        <v>463</v>
      </c>
      <c r="D45" s="67">
        <f>Val_Spot * (1 - (3 * Val_ScenStep))</f>
        <v>421.76639999999998</v>
      </c>
      <c r="E45" s="67">
        <f>Val_Spot * (1 - (2 * Val_ScenStep))</f>
        <v>440.93759999999997</v>
      </c>
      <c r="F45" s="67">
        <f>Val_Spot * (1 - Val_ScenStep)</f>
        <v>460.10879999999997</v>
      </c>
      <c r="G45" s="68">
        <f>Val_Spot</f>
        <v>479.28</v>
      </c>
      <c r="H45" s="69">
        <f>Val_Spot * (1 + Val_ScenStep)</f>
        <v>498.45119999999997</v>
      </c>
      <c r="I45" s="69">
        <f>Val_Spot * (1 + (2 * Val_ScenStep))</f>
        <v>517.62239999999997</v>
      </c>
      <c r="J45" s="70">
        <f>Val_Spot * (1 + (3 * Val_ScenStep))</f>
        <v>536.79359999999997</v>
      </c>
      <c r="L45" s="96" t="s">
        <v>1317</v>
      </c>
      <c r="M45" s="116" t="s">
        <v>1316</v>
      </c>
      <c r="S45" s="50"/>
      <c r="U45" s="146" t="s">
        <v>1368</v>
      </c>
      <c r="V45" s="147" t="s">
        <v>125</v>
      </c>
      <c r="W45" s="146" t="s">
        <v>169</v>
      </c>
      <c r="X45" s="191"/>
      <c r="Y45" s="191"/>
      <c r="Z45" s="191"/>
    </row>
    <row r="46" spans="2:28" x14ac:dyDescent="0.3">
      <c r="C46" s="66" t="s">
        <v>464</v>
      </c>
      <c r="D46" s="71" cm="1">
        <f t="array" ref="D46">GetLegPnL(D$45, "Stock", 0, Stock_AvgCost, Stock_Pos)</f>
        <v>12264.959999999995</v>
      </c>
      <c r="E46" s="71" cm="1">
        <f t="array" ref="E46">GetLegPnL(E$45, "Stock", 0, Stock_AvgCost, Stock_Pos)</f>
        <v>15140.639999999996</v>
      </c>
      <c r="F46" s="71" cm="1">
        <f t="array" ref="F46">GetLegPnL(F$45, "Stock", 0, Stock_AvgCost, Stock_Pos)</f>
        <v>18016.319999999996</v>
      </c>
      <c r="G46" s="71" cm="1">
        <f t="array" ref="G46">GetLegPnL(G$45, "Stock", 0, Stock_AvgCost, Stock_Pos)</f>
        <v>20891.999999999996</v>
      </c>
      <c r="H46" s="71" cm="1">
        <f t="array" ref="H46">GetLegPnL(H$45, "Stock", 0, Stock_AvgCost, Stock_Pos)</f>
        <v>23767.679999999997</v>
      </c>
      <c r="I46" s="71" cm="1">
        <f t="array" ref="I46">GetLegPnL(I$45, "Stock", 0, Stock_AvgCost, Stock_Pos)</f>
        <v>26643.359999999997</v>
      </c>
      <c r="J46" s="72" cm="1">
        <f t="array" ref="J46">GetLegPnL(J$45, "Stock", 0, Stock_AvgCost, Stock_Pos)</f>
        <v>29519.039999999994</v>
      </c>
      <c r="L46" s="96" t="s">
        <v>1318</v>
      </c>
      <c r="M46" s="116">
        <v>100</v>
      </c>
      <c r="S46" s="50"/>
      <c r="U46" s="187" t="s">
        <v>1369</v>
      </c>
      <c r="V46" s="193">
        <v>39159</v>
      </c>
      <c r="W46" s="187" t="s">
        <v>1370</v>
      </c>
      <c r="X46" s="191"/>
      <c r="Y46" s="191"/>
      <c r="Z46" s="191"/>
    </row>
    <row r="47" spans="2:28" x14ac:dyDescent="0.3">
      <c r="B47" s="33">
        <f>B48/100</f>
        <v>0.04</v>
      </c>
      <c r="C47" s="66" t="s">
        <v>193</v>
      </c>
      <c r="D47" s="71">
        <f t="shared" ref="D47:J47" si="1">SUM(
  GetLegPnL(D$45, Leg1_Type, Leg1_Strike, Leg1_Price, Leg1_Pos),
  GetLegPnL(D$45, Leg2_Type, Leg2_Strike, Leg2_Price, Leg2_Pos),
  GetLegPnL(D$45, Leg3_Type, Leg3_Strike, Leg3_Price, Leg3_Pos),
  GetLegPnL(D$45, Leg4_Type, Leg4_Strike, Leg4_Price, Leg4_Pos)
)</f>
        <v>-1036.3600000000024</v>
      </c>
      <c r="E47" s="71">
        <f t="shared" si="1"/>
        <v>880.75999999999749</v>
      </c>
      <c r="F47" s="71">
        <f t="shared" si="1"/>
        <v>1787</v>
      </c>
      <c r="G47" s="71">
        <f t="shared" si="1"/>
        <v>1787</v>
      </c>
      <c r="H47" s="71">
        <f t="shared" si="1"/>
        <v>1787</v>
      </c>
      <c r="I47" s="71">
        <f t="shared" si="1"/>
        <v>24.760000000002947</v>
      </c>
      <c r="J47" s="72">
        <f t="shared" si="1"/>
        <v>-1892.3599999999969</v>
      </c>
      <c r="L47" s="96" t="s">
        <v>1319</v>
      </c>
      <c r="M47" s="116" t="s">
        <v>1328</v>
      </c>
      <c r="S47" s="50"/>
      <c r="U47" s="187" t="s">
        <v>1371</v>
      </c>
      <c r="V47" s="193">
        <v>9000</v>
      </c>
      <c r="W47" s="187" t="s">
        <v>1372</v>
      </c>
      <c r="X47" s="191"/>
      <c r="Y47" s="191"/>
      <c r="Z47" s="191"/>
    </row>
    <row r="48" spans="2:28" x14ac:dyDescent="0.3">
      <c r="B48" s="34">
        <v>4</v>
      </c>
      <c r="C48" s="73" t="s">
        <v>194</v>
      </c>
      <c r="D48" s="74">
        <f>SUM(D46, D47)</f>
        <v>11228.599999999993</v>
      </c>
      <c r="E48" s="74">
        <f t="shared" ref="E48:J48" si="2">SUM(E46, E47)</f>
        <v>16021.399999999994</v>
      </c>
      <c r="F48" s="74">
        <f t="shared" si="2"/>
        <v>19803.319999999996</v>
      </c>
      <c r="G48" s="74">
        <f t="shared" si="2"/>
        <v>22678.999999999996</v>
      </c>
      <c r="H48" s="74">
        <f t="shared" si="2"/>
        <v>25554.679999999997</v>
      </c>
      <c r="I48" s="74">
        <f t="shared" si="2"/>
        <v>26668.12</v>
      </c>
      <c r="J48" s="75">
        <f t="shared" si="2"/>
        <v>27626.679999999997</v>
      </c>
      <c r="L48" s="154" t="s">
        <v>1320</v>
      </c>
      <c r="M48" s="155" t="s">
        <v>1329</v>
      </c>
      <c r="N48" s="52"/>
      <c r="O48" s="52"/>
      <c r="P48" s="52"/>
      <c r="Q48" s="52"/>
      <c r="R48" s="52"/>
      <c r="S48" s="54"/>
      <c r="U48" s="187" t="s">
        <v>1373</v>
      </c>
      <c r="V48" s="193" t="s">
        <v>1374</v>
      </c>
      <c r="W48" s="187" t="s">
        <v>1375</v>
      </c>
      <c r="X48" s="185"/>
      <c r="Y48" s="192"/>
      <c r="Z48" s="185"/>
      <c r="AA48" s="149"/>
    </row>
    <row r="49" spans="12:27" x14ac:dyDescent="0.3">
      <c r="U49" s="191"/>
      <c r="V49" s="186"/>
      <c r="W49" s="189"/>
      <c r="X49" s="186"/>
      <c r="Y49" s="192"/>
      <c r="Z49" s="185"/>
      <c r="AA49" s="149"/>
    </row>
    <row r="50" spans="12:27" x14ac:dyDescent="0.3">
      <c r="L50" s="17" t="s">
        <v>1330</v>
      </c>
      <c r="U50" s="191"/>
      <c r="V50" s="185"/>
      <c r="W50" s="190"/>
      <c r="X50" s="149"/>
      <c r="Y50" s="151"/>
      <c r="Z50" s="149"/>
      <c r="AA50" s="149"/>
    </row>
    <row r="51" spans="12:27" x14ac:dyDescent="0.3">
      <c r="U51" s="191"/>
      <c r="V51" s="185"/>
      <c r="W51" s="190"/>
      <c r="X51" s="149"/>
      <c r="Y51" s="151"/>
      <c r="Z51" s="149"/>
      <c r="AA51" s="149"/>
    </row>
    <row r="52" spans="12:27" x14ac:dyDescent="0.3">
      <c r="V52" s="149"/>
      <c r="W52" s="150"/>
      <c r="X52" s="149"/>
      <c r="Y52" s="151"/>
      <c r="Z52" s="149"/>
      <c r="AA52" s="149"/>
    </row>
    <row r="53" spans="12:27" x14ac:dyDescent="0.3">
      <c r="V53" s="149"/>
      <c r="W53" s="150"/>
      <c r="X53" s="149"/>
    </row>
    <row r="54" spans="12:27" x14ac:dyDescent="0.3">
      <c r="V54" s="149"/>
      <c r="W54" s="150"/>
      <c r="X54" s="149"/>
    </row>
    <row r="55" spans="12:27" x14ac:dyDescent="0.3">
      <c r="V55" s="149"/>
      <c r="W55" s="150"/>
      <c r="X55" s="149"/>
    </row>
    <row r="58" spans="12:27" x14ac:dyDescent="0.3">
      <c r="L58" s="9"/>
      <c r="M58" s="9"/>
      <c r="N58" s="9"/>
    </row>
    <row r="59" spans="12:27" x14ac:dyDescent="0.3">
      <c r="L59" s="9"/>
      <c r="M59" s="9"/>
      <c r="N59" s="9"/>
    </row>
    <row r="60" spans="12:27" x14ac:dyDescent="0.3">
      <c r="L60" s="21"/>
      <c r="M60" s="21"/>
      <c r="N60" s="21"/>
    </row>
  </sheetData>
  <mergeCells count="11">
    <mergeCell ref="L12:L13"/>
    <mergeCell ref="L10:L11"/>
    <mergeCell ref="M9:N9"/>
    <mergeCell ref="C1:J2"/>
    <mergeCell ref="G5:H5"/>
    <mergeCell ref="G6:H6"/>
    <mergeCell ref="D4:E4"/>
    <mergeCell ref="C3:E3"/>
    <mergeCell ref="F3:H3"/>
    <mergeCell ref="I3:J3"/>
    <mergeCell ref="G4:H4"/>
  </mergeCells>
  <conditionalFormatting sqref="D46:J48">
    <cfRule type="cellIs" dxfId="13" priority="3" operator="greaterThan">
      <formula>0</formula>
    </cfRule>
  </conditionalFormatting>
  <dataValidations count="9">
    <dataValidation type="list" allowBlank="1" showInputMessage="1" showErrorMessage="1" sqref="G4" xr:uid="{16C05980-9032-4346-80B5-BD8550C2239C}">
      <formula1>"Basics,Vertical Spreads,Ratio Spreads,Ladders,Condors &amp; Flys,Straddles,Boxes,Synthetics,Arbitrage"</formula1>
    </dataValidation>
    <dataValidation type="list" allowBlank="1" showInputMessage="1" showErrorMessage="1" sqref="M41" xr:uid="{C51AC45A-C274-4077-9D29-9455879A8F1B}">
      <formula1>"Risk Max Loss,Risk Max Loss + Treasury Carry,Margin Proxy,Margin Proxy + Treasury Carry,Net Premium,Net Premium + Treasury Carry,Cash Secured Notional,Cash Secured Notional + Treasury Carry"</formula1>
    </dataValidation>
    <dataValidation type="list" allowBlank="1" showInputMessage="1" showErrorMessage="1" sqref="M40" xr:uid="{CA983646-A8C1-43CF-8773-C7EDFCBDD879}">
      <formula1>"Strategy Relevant,Show all"</formula1>
    </dataValidation>
    <dataValidation type="list" allowBlank="1" showInputMessage="1" showErrorMessage="1" sqref="M44" xr:uid="{E7B4C1B1-8A6C-4C6C-B975-4E703505A2EA}">
      <formula1>"CBOE,HOUSE"</formula1>
    </dataValidation>
    <dataValidation type="list" allowBlank="1" showInputMessage="1" showErrorMessage="1" sqref="M45" xr:uid="{2AF5597E-3D35-4CC7-881F-E4806B785D6C}">
      <formula1>"Broad,Narrow"</formula1>
    </dataValidation>
    <dataValidation type="list" allowBlank="1" showInputMessage="1" showErrorMessage="1" sqref="M47" xr:uid="{7362CD24-8E7E-4A34-91DE-CC7E7650D424}">
      <formula1>"Cash,Physical"</formula1>
    </dataValidation>
    <dataValidation type="list" allowBlank="1" showInputMessage="1" showErrorMessage="1" sqref="M48" xr:uid="{FB1D8DD0-C85A-45EE-AC3A-854E8FAE1553}">
      <formula1>"Listed,OTC"</formula1>
    </dataValidation>
    <dataValidation type="list" allowBlank="1" showInputMessage="1" showErrorMessage="1" sqref="G5" xr:uid="{07621ADE-7A03-4867-B8D5-4FAF646E73CB}">
      <formula1>"Short Vol,Long Vol"</formula1>
    </dataValidation>
    <dataValidation type="list" allowBlank="1" showInputMessage="1" showErrorMessage="1" sqref="G6" xr:uid="{A20D97AD-EB0A-4F7F-B9EB-1F5ABAB6ADC3}">
      <formula1>"Long Call Butterfly,Long Put Butterfly,Iron Butterfly,Long Call Condor,Long Put Condor,Iron Condor"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RunAnalysis">
                <anchor moveWithCells="1" sizeWithCells="1">
                  <from>
                    <xdr:col>14</xdr:col>
                    <xdr:colOff>792480</xdr:colOff>
                    <xdr:row>3</xdr:row>
                    <xdr:rowOff>121920</xdr:rowOff>
                  </from>
                  <to>
                    <xdr:col>16</xdr:col>
                    <xdr:colOff>289560</xdr:colOff>
                    <xdr:row>5</xdr:row>
                    <xdr:rowOff>38100</xdr:rowOff>
                  </to>
                </anchor>
              </controlPr>
            </control>
          </mc:Choice>
        </mc:AlternateContent>
        <mc:AlternateContent xmlns:mc="http://schemas.openxmlformats.org/markup-compatibility/2006">
          <mc:Choice Requires="x14">
            <control shapeId="1039" r:id="rId5" name="Button 15">
              <controlPr defaultSize="0" print="0" autoFill="0" autoPict="0" macro="[0]!Chart_X_ZoomIn">
                <anchor moveWithCells="1" sizeWithCells="1">
                  <from>
                    <xdr:col>11</xdr:col>
                    <xdr:colOff>1295400</xdr:colOff>
                    <xdr:row>9</xdr:row>
                    <xdr:rowOff>53340</xdr:rowOff>
                  </from>
                  <to>
                    <xdr:col>11</xdr:col>
                    <xdr:colOff>1661160</xdr:colOff>
                    <xdr:row>10</xdr:row>
                    <xdr:rowOff>137160</xdr:rowOff>
                  </to>
                </anchor>
              </controlPr>
            </control>
          </mc:Choice>
        </mc:AlternateContent>
        <mc:AlternateContent xmlns:mc="http://schemas.openxmlformats.org/markup-compatibility/2006">
          <mc:Choice Requires="x14">
            <control shapeId="1041" r:id="rId6" name="Button 17">
              <controlPr defaultSize="0" print="0" autoFill="0" autoPict="0" macro="[0]!Chart_Y_ZoomIn">
                <anchor moveWithCells="1" sizeWithCells="1">
                  <from>
                    <xdr:col>11</xdr:col>
                    <xdr:colOff>1295400</xdr:colOff>
                    <xdr:row>11</xdr:row>
                    <xdr:rowOff>30480</xdr:rowOff>
                  </from>
                  <to>
                    <xdr:col>11</xdr:col>
                    <xdr:colOff>1661160</xdr:colOff>
                    <xdr:row>12</xdr:row>
                    <xdr:rowOff>121920</xdr:rowOff>
                  </to>
                </anchor>
              </controlPr>
            </control>
          </mc:Choice>
        </mc:AlternateContent>
        <mc:AlternateContent xmlns:mc="http://schemas.openxmlformats.org/markup-compatibility/2006">
          <mc:Choice Requires="x14">
            <control shapeId="1042" r:id="rId7" name="Button 18">
              <controlPr defaultSize="0" print="0" autoFill="0" autoPict="0" macro="[0]!Chart_X_ZoomOut">
                <anchor moveWithCells="1" sizeWithCells="1">
                  <from>
                    <xdr:col>11</xdr:col>
                    <xdr:colOff>868680</xdr:colOff>
                    <xdr:row>9</xdr:row>
                    <xdr:rowOff>53340</xdr:rowOff>
                  </from>
                  <to>
                    <xdr:col>11</xdr:col>
                    <xdr:colOff>1234440</xdr:colOff>
                    <xdr:row>10</xdr:row>
                    <xdr:rowOff>137160</xdr:rowOff>
                  </to>
                </anchor>
              </controlPr>
            </control>
          </mc:Choice>
        </mc:AlternateContent>
        <mc:AlternateContent xmlns:mc="http://schemas.openxmlformats.org/markup-compatibility/2006">
          <mc:Choice Requires="x14">
            <control shapeId="1043" r:id="rId8" name="Button 19">
              <controlPr defaultSize="0" print="0" autoFill="0" autoPict="0" macro="[0]!Chart_Y_ZoomOut">
                <anchor moveWithCells="1" sizeWithCells="1">
                  <from>
                    <xdr:col>11</xdr:col>
                    <xdr:colOff>868680</xdr:colOff>
                    <xdr:row>11</xdr:row>
                    <xdr:rowOff>30480</xdr:rowOff>
                  </from>
                  <to>
                    <xdr:col>11</xdr:col>
                    <xdr:colOff>1234440</xdr:colOff>
                    <xdr:row>12</xdr:row>
                    <xdr:rowOff>121920</xdr:rowOff>
                  </to>
                </anchor>
              </controlPr>
            </control>
          </mc:Choice>
        </mc:AlternateContent>
        <mc:AlternateContent xmlns:mc="http://schemas.openxmlformats.org/markup-compatibility/2006">
          <mc:Choice Requires="x14">
            <control shapeId="1051" r:id="rId9" name="Button 27">
              <controlPr defaultSize="0" print="0" autoFill="0" autoPict="0" macro="[0]!Chart_PanDown">
                <anchor moveWithCells="1" sizeWithCells="1">
                  <from>
                    <xdr:col>12</xdr:col>
                    <xdr:colOff>480060</xdr:colOff>
                    <xdr:row>11</xdr:row>
                    <xdr:rowOff>160020</xdr:rowOff>
                  </from>
                  <to>
                    <xdr:col>13</xdr:col>
                    <xdr:colOff>205740</xdr:colOff>
                    <xdr:row>13</xdr:row>
                    <xdr:rowOff>22860</xdr:rowOff>
                  </to>
                </anchor>
              </controlPr>
            </control>
          </mc:Choice>
        </mc:AlternateContent>
        <mc:AlternateContent xmlns:mc="http://schemas.openxmlformats.org/markup-compatibility/2006">
          <mc:Choice Requires="x14">
            <control shapeId="1052" r:id="rId10" name="Button 28">
              <controlPr defaultSize="0" print="0" autoFill="0" autoPict="0" macro="[0]!Chart_PanUp">
                <anchor moveWithCells="1" sizeWithCells="1">
                  <from>
                    <xdr:col>12</xdr:col>
                    <xdr:colOff>487680</xdr:colOff>
                    <xdr:row>9</xdr:row>
                    <xdr:rowOff>22860</xdr:rowOff>
                  </from>
                  <to>
                    <xdr:col>13</xdr:col>
                    <xdr:colOff>213360</xdr:colOff>
                    <xdr:row>10</xdr:row>
                    <xdr:rowOff>68580</xdr:rowOff>
                  </to>
                </anchor>
              </controlPr>
            </control>
          </mc:Choice>
        </mc:AlternateContent>
        <mc:AlternateContent xmlns:mc="http://schemas.openxmlformats.org/markup-compatibility/2006">
          <mc:Choice Requires="x14">
            <control shapeId="1053" r:id="rId11" name="Button 29">
              <controlPr defaultSize="0" print="0" autoFill="0" autoPict="0" macro="[0]!Chart_PanLeft">
                <anchor moveWithCells="1" sizeWithCells="1">
                  <from>
                    <xdr:col>12</xdr:col>
                    <xdr:colOff>243840</xdr:colOff>
                    <xdr:row>10</xdr:row>
                    <xdr:rowOff>83820</xdr:rowOff>
                  </from>
                  <to>
                    <xdr:col>12</xdr:col>
                    <xdr:colOff>693420</xdr:colOff>
                    <xdr:row>11</xdr:row>
                    <xdr:rowOff>137160</xdr:rowOff>
                  </to>
                </anchor>
              </controlPr>
            </control>
          </mc:Choice>
        </mc:AlternateContent>
        <mc:AlternateContent xmlns:mc="http://schemas.openxmlformats.org/markup-compatibility/2006">
          <mc:Choice Requires="x14">
            <control shapeId="1054" r:id="rId12" name="Button 30">
              <controlPr defaultSize="0" print="0" autoFill="0" autoPict="0" macro="[0]!Chart_PanRight">
                <anchor moveWithCells="1" sizeWithCells="1">
                  <from>
                    <xdr:col>13</xdr:col>
                    <xdr:colOff>15240</xdr:colOff>
                    <xdr:row>10</xdr:row>
                    <xdr:rowOff>83820</xdr:rowOff>
                  </from>
                  <to>
                    <xdr:col>13</xdr:col>
                    <xdr:colOff>472440</xdr:colOff>
                    <xdr:row>11</xdr:row>
                    <xdr:rowOff>137160</xdr:rowOff>
                  </to>
                </anchor>
              </controlPr>
            </control>
          </mc:Choice>
        </mc:AlternateContent>
        <mc:AlternateContent xmlns:mc="http://schemas.openxmlformats.org/markup-compatibility/2006">
          <mc:Choice Requires="x14">
            <control shapeId="1055" r:id="rId13" name="Button 31">
              <controlPr defaultSize="0" print="0" autoFill="0" autoPict="0" macro="[0]!Chart_Reset">
                <anchor moveWithCells="1" sizeWithCells="1">
                  <from>
                    <xdr:col>11</xdr:col>
                    <xdr:colOff>91440</xdr:colOff>
                    <xdr:row>13</xdr:row>
                    <xdr:rowOff>91440</xdr:rowOff>
                  </from>
                  <to>
                    <xdr:col>11</xdr:col>
                    <xdr:colOff>1234440</xdr:colOff>
                    <xdr:row>14</xdr:row>
                    <xdr:rowOff>129540</xdr:rowOff>
                  </to>
                </anchor>
              </controlPr>
            </control>
          </mc:Choice>
        </mc:AlternateContent>
        <mc:AlternateContent xmlns:mc="http://schemas.openxmlformats.org/markup-compatibility/2006">
          <mc:Choice Requires="x14">
            <control shapeId="1066" r:id="rId14" name="Check Box 42">
              <controlPr defaultSize="0" autoFill="0" autoLine="0" autoPict="0" macro="[0]!RefreshChartVisualsOnly">
                <anchor moveWithCells="1">
                  <from>
                    <xdr:col>15</xdr:col>
                    <xdr:colOff>38100</xdr:colOff>
                    <xdr:row>10</xdr:row>
                    <xdr:rowOff>99060</xdr:rowOff>
                  </from>
                  <to>
                    <xdr:col>16</xdr:col>
                    <xdr:colOff>411480</xdr:colOff>
                    <xdr:row>11</xdr:row>
                    <xdr:rowOff>99060</xdr:rowOff>
                  </to>
                </anchor>
              </controlPr>
            </control>
          </mc:Choice>
        </mc:AlternateContent>
        <mc:AlternateContent xmlns:mc="http://schemas.openxmlformats.org/markup-compatibility/2006">
          <mc:Choice Requires="x14">
            <control shapeId="1069" r:id="rId15" name="Check Box 45">
              <controlPr defaultSize="0" autoFill="0" autoLine="0" autoPict="0" macro="[0]!RefreshChartVisualsOnly">
                <anchor moveWithCells="1">
                  <from>
                    <xdr:col>15</xdr:col>
                    <xdr:colOff>38100</xdr:colOff>
                    <xdr:row>13</xdr:row>
                    <xdr:rowOff>22860</xdr:rowOff>
                  </from>
                  <to>
                    <xdr:col>16</xdr:col>
                    <xdr:colOff>411480</xdr:colOff>
                    <xdr:row>14</xdr:row>
                    <xdr:rowOff>22860</xdr:rowOff>
                  </to>
                </anchor>
              </controlPr>
            </control>
          </mc:Choice>
        </mc:AlternateContent>
        <mc:AlternateContent xmlns:mc="http://schemas.openxmlformats.org/markup-compatibility/2006">
          <mc:Choice Requires="x14">
            <control shapeId="1070" r:id="rId16" name="Check Box 46">
              <controlPr defaultSize="0" autoFill="0" autoLine="0" autoPict="0" macro="[0]!RefreshChartVisualsOnly">
                <anchor moveWithCells="1">
                  <from>
                    <xdr:col>16</xdr:col>
                    <xdr:colOff>312420</xdr:colOff>
                    <xdr:row>6</xdr:row>
                    <xdr:rowOff>45720</xdr:rowOff>
                  </from>
                  <to>
                    <xdr:col>17</xdr:col>
                    <xdr:colOff>152400</xdr:colOff>
                    <xdr:row>7</xdr:row>
                    <xdr:rowOff>45720</xdr:rowOff>
                  </to>
                </anchor>
              </controlPr>
            </control>
          </mc:Choice>
        </mc:AlternateContent>
        <mc:AlternateContent xmlns:mc="http://schemas.openxmlformats.org/markup-compatibility/2006">
          <mc:Choice Requires="x14">
            <control shapeId="1075" r:id="rId17" name="Check Box 51">
              <controlPr defaultSize="0" autoFill="0" autoLine="0" autoPict="0" macro="[0]!RefreshChartVisualsOnly">
                <anchor moveWithCells="1">
                  <from>
                    <xdr:col>15</xdr:col>
                    <xdr:colOff>38100</xdr:colOff>
                    <xdr:row>9</xdr:row>
                    <xdr:rowOff>68580</xdr:rowOff>
                  </from>
                  <to>
                    <xdr:col>16</xdr:col>
                    <xdr:colOff>411480</xdr:colOff>
                    <xdr:row>10</xdr:row>
                    <xdr:rowOff>68580</xdr:rowOff>
                  </to>
                </anchor>
              </controlPr>
            </control>
          </mc:Choice>
        </mc:AlternateContent>
        <mc:AlternateContent xmlns:mc="http://schemas.openxmlformats.org/markup-compatibility/2006">
          <mc:Choice Requires="x14">
            <control shapeId="1078" r:id="rId18" name="Check Box 54">
              <controlPr defaultSize="0" autoFill="0" autoLine="0" autoPict="0" macro="[0]!RefreshChartVisualsOnly">
                <anchor moveWithCells="1">
                  <from>
                    <xdr:col>17</xdr:col>
                    <xdr:colOff>350520</xdr:colOff>
                    <xdr:row>6</xdr:row>
                    <xdr:rowOff>45720</xdr:rowOff>
                  </from>
                  <to>
                    <xdr:col>18</xdr:col>
                    <xdr:colOff>541020</xdr:colOff>
                    <xdr:row>7</xdr:row>
                    <xdr:rowOff>45720</xdr:rowOff>
                  </to>
                </anchor>
              </controlPr>
            </control>
          </mc:Choice>
        </mc:AlternateContent>
        <mc:AlternateContent xmlns:mc="http://schemas.openxmlformats.org/markup-compatibility/2006">
          <mc:Choice Requires="x14">
            <control shapeId="1079" r:id="rId19" name="Check Box 55">
              <controlPr defaultSize="0" autoFill="0" autoLine="0" autoPict="0" macro="[0]!RefreshChartVisualsOnly">
                <anchor moveWithCells="1">
                  <from>
                    <xdr:col>17</xdr:col>
                    <xdr:colOff>99060</xdr:colOff>
                    <xdr:row>9</xdr:row>
                    <xdr:rowOff>68580</xdr:rowOff>
                  </from>
                  <to>
                    <xdr:col>18</xdr:col>
                    <xdr:colOff>556260</xdr:colOff>
                    <xdr:row>10</xdr:row>
                    <xdr:rowOff>68580</xdr:rowOff>
                  </to>
                </anchor>
              </controlPr>
            </control>
          </mc:Choice>
        </mc:AlternateContent>
        <mc:AlternateContent xmlns:mc="http://schemas.openxmlformats.org/markup-compatibility/2006">
          <mc:Choice Requires="x14">
            <control shapeId="1082" r:id="rId20" name="Check Box 58">
              <controlPr defaultSize="0" autoFill="0" autoLine="0" autoPict="0" macro="[0]!RefreshChartVisualsOnly">
                <anchor moveWithCells="1">
                  <from>
                    <xdr:col>17</xdr:col>
                    <xdr:colOff>99060</xdr:colOff>
                    <xdr:row>10</xdr:row>
                    <xdr:rowOff>99060</xdr:rowOff>
                  </from>
                  <to>
                    <xdr:col>18</xdr:col>
                    <xdr:colOff>541020</xdr:colOff>
                    <xdr:row>11</xdr:row>
                    <xdr:rowOff>106680</xdr:rowOff>
                  </to>
                </anchor>
              </controlPr>
            </control>
          </mc:Choice>
        </mc:AlternateContent>
        <mc:AlternateContent xmlns:mc="http://schemas.openxmlformats.org/markup-compatibility/2006">
          <mc:Choice Requires="x14">
            <control shapeId="1084" r:id="rId21" name="Check Box 60">
              <controlPr defaultSize="0" autoFill="0" autoLine="0" autoPict="0" macro="[0]!RefreshChartVisualsOnly">
                <anchor moveWithCells="1">
                  <from>
                    <xdr:col>17</xdr:col>
                    <xdr:colOff>99060</xdr:colOff>
                    <xdr:row>13</xdr:row>
                    <xdr:rowOff>22860</xdr:rowOff>
                  </from>
                  <to>
                    <xdr:col>18</xdr:col>
                    <xdr:colOff>541020</xdr:colOff>
                    <xdr:row>14</xdr:row>
                    <xdr:rowOff>0</xdr:rowOff>
                  </to>
                </anchor>
              </controlPr>
            </control>
          </mc:Choice>
        </mc:AlternateContent>
        <mc:AlternateContent xmlns:mc="http://schemas.openxmlformats.org/markup-compatibility/2006">
          <mc:Choice Requires="x14">
            <control shapeId="1090" r:id="rId22" name="Check Box 66">
              <controlPr defaultSize="0" autoFill="0" autoLine="0" autoPict="0" macro="[0]!RefreshChartVisualsOnly">
                <anchor moveWithCells="1">
                  <from>
                    <xdr:col>15</xdr:col>
                    <xdr:colOff>38100</xdr:colOff>
                    <xdr:row>11</xdr:row>
                    <xdr:rowOff>144780</xdr:rowOff>
                  </from>
                  <to>
                    <xdr:col>16</xdr:col>
                    <xdr:colOff>411480</xdr:colOff>
                    <xdr:row>12</xdr:row>
                    <xdr:rowOff>152400</xdr:rowOff>
                  </to>
                </anchor>
              </controlPr>
            </control>
          </mc:Choice>
        </mc:AlternateContent>
        <mc:AlternateContent xmlns:mc="http://schemas.openxmlformats.org/markup-compatibility/2006">
          <mc:Choice Requires="x14">
            <control shapeId="1091" r:id="rId23" name="Check Box 67">
              <controlPr defaultSize="0" autoFill="0" autoLine="0" autoPict="0" macro="[0]!RefreshChartVisualsOnly">
                <anchor moveWithCells="1">
                  <from>
                    <xdr:col>17</xdr:col>
                    <xdr:colOff>99060</xdr:colOff>
                    <xdr:row>11</xdr:row>
                    <xdr:rowOff>152400</xdr:rowOff>
                  </from>
                  <to>
                    <xdr:col>18</xdr:col>
                    <xdr:colOff>541020</xdr:colOff>
                    <xdr:row>12</xdr:row>
                    <xdr:rowOff>160020</xdr:rowOff>
                  </to>
                </anchor>
              </controlPr>
            </control>
          </mc:Choice>
        </mc:AlternateContent>
        <mc:AlternateContent xmlns:mc="http://schemas.openxmlformats.org/markup-compatibility/2006">
          <mc:Choice Requires="x14">
            <control shapeId="1098" r:id="rId24" name="Button 74">
              <controlPr defaultSize="0" print="0" autoFill="0" autoPict="0" macro="[0]!FetchBloombergData">
                <anchor moveWithCells="1" sizeWithCells="1">
                  <from>
                    <xdr:col>11</xdr:col>
                    <xdr:colOff>259080</xdr:colOff>
                    <xdr:row>3</xdr:row>
                    <xdr:rowOff>60960</xdr:rowOff>
                  </from>
                  <to>
                    <xdr:col>11</xdr:col>
                    <xdr:colOff>1447800</xdr:colOff>
                    <xdr:row>4</xdr:row>
                    <xdr:rowOff>68580</xdr:rowOff>
                  </to>
                </anchor>
              </controlPr>
            </control>
          </mc:Choice>
        </mc:AlternateContent>
        <mc:AlternateContent xmlns:mc="http://schemas.openxmlformats.org/markup-compatibility/2006">
          <mc:Choice Requires="x14">
            <control shapeId="1100" r:id="rId25" name="Button 76">
              <controlPr defaultSize="0" print="0" autoFill="0" autoPict="0" macro="[0]!ImportBloombergData">
                <anchor moveWithCells="1" sizeWithCells="1">
                  <from>
                    <xdr:col>12</xdr:col>
                    <xdr:colOff>350520</xdr:colOff>
                    <xdr:row>3</xdr:row>
                    <xdr:rowOff>129540</xdr:rowOff>
                  </from>
                  <to>
                    <xdr:col>14</xdr:col>
                    <xdr:colOff>99060</xdr:colOff>
                    <xdr:row>5</xdr:row>
                    <xdr:rowOff>38100</xdr:rowOff>
                  </to>
                </anchor>
              </controlPr>
            </control>
          </mc:Choice>
        </mc:AlternateContent>
        <mc:AlternateContent xmlns:mc="http://schemas.openxmlformats.org/markup-compatibility/2006">
          <mc:Choice Requires="x14">
            <control shapeId="1102" r:id="rId26" name="Button 78">
              <controlPr defaultSize="0" print="0" autoFill="0" autoPict="0" macro="[0]!ForceBBGRefreshOnly">
                <anchor moveWithCells="1" sizeWithCells="1">
                  <from>
                    <xdr:col>11</xdr:col>
                    <xdr:colOff>266700</xdr:colOff>
                    <xdr:row>4</xdr:row>
                    <xdr:rowOff>114300</xdr:rowOff>
                  </from>
                  <to>
                    <xdr:col>11</xdr:col>
                    <xdr:colOff>1455420</xdr:colOff>
                    <xdr:row>5</xdr:row>
                    <xdr:rowOff>121920</xdr:rowOff>
                  </to>
                </anchor>
              </controlPr>
            </control>
          </mc:Choice>
        </mc:AlternateContent>
        <mc:AlternateContent xmlns:mc="http://schemas.openxmlformats.org/markup-compatibility/2006">
          <mc:Choice Requires="x14">
            <control shapeId="1140" r:id="rId27" name="Spinner 116">
              <controlPr defaultSize="0" autoPict="0">
                <anchor moveWithCells="1" sizeWithCells="1">
                  <from>
                    <xdr:col>1</xdr:col>
                    <xdr:colOff>38100</xdr:colOff>
                    <xdr:row>44</xdr:row>
                    <xdr:rowOff>7620</xdr:rowOff>
                  </from>
                  <to>
                    <xdr:col>1</xdr:col>
                    <xdr:colOff>373380</xdr:colOff>
                    <xdr:row>48</xdr:row>
                    <xdr:rowOff>0</xdr:rowOff>
                  </to>
                </anchor>
              </controlPr>
            </control>
          </mc:Choice>
        </mc:AlternateContent>
        <mc:AlternateContent xmlns:mc="http://schemas.openxmlformats.org/markup-compatibility/2006">
          <mc:Choice Requires="x14">
            <control shapeId="1145" r:id="rId28" name="Button 121">
              <controlPr defaultSize="0" print="0" autoFill="0" autoPict="0" macro="[0]!Build_Client_Report">
                <anchor moveWithCells="1" sizeWithCells="1">
                  <from>
                    <xdr:col>17</xdr:col>
                    <xdr:colOff>129540</xdr:colOff>
                    <xdr:row>3</xdr:row>
                    <xdr:rowOff>121920</xdr:rowOff>
                  </from>
                  <to>
                    <xdr:col>18</xdr:col>
                    <xdr:colOff>518160</xdr:colOff>
                    <xdr:row>5</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B89F2E2-F66C-41EC-A559-648B217CE100}">
          <x14:formula1>
            <xm:f>ExpirationDates!$G$2:$G$4</xm:f>
          </x14:formula1>
          <xm:sqref>J4</xm:sqref>
        </x14:dataValidation>
        <x14:dataValidation type="list" allowBlank="1" showInputMessage="1" showErrorMessage="1" xr:uid="{AE70C7EF-3989-40A7-829A-334621E7D923}">
          <x14:formula1>
            <xm:f>Calc!$AB$1:$AB$36</xm:f>
          </x14:formula1>
          <xm:sqref>J5</xm:sqref>
        </x14:dataValidation>
        <x14:dataValidation type="list" allowBlank="1" showInputMessage="1" showErrorMessage="1" xr:uid="{D87EE5FC-77E7-4989-AD76-03358756DF90}">
          <x14:formula1>
            <xm:f>HelperFields!$A$4:$A$5</xm:f>
          </x14:formula1>
          <xm:sqref>M43</xm:sqref>
        </x14:dataValidation>
        <x14:dataValidation type="list" allowBlank="1" showInputMessage="1" showErrorMessage="1" xr:uid="{741096EC-F38B-4A92-89EA-C9219D3CB316}">
          <x14:formula1>
            <xm:f>HelperFields!$C$5:$C$5</xm:f>
          </x14:formula1>
          <xm:sqref>U35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FB0D9-049B-47BE-A6CC-ED10844792FF}">
  <sheetPr codeName="Sheet13">
    <tabColor rgb="FFC00000"/>
  </sheetPr>
  <dimension ref="A1:Z200"/>
  <sheetViews>
    <sheetView showGridLines="0" view="pageLayout" topLeftCell="A11" zoomScale="85" zoomScaleNormal="100" zoomScalePageLayoutView="85" workbookViewId="0">
      <selection activeCell="J27" sqref="J27"/>
    </sheetView>
  </sheetViews>
  <sheetFormatPr defaultColWidth="8.88671875" defaultRowHeight="14.4" x14ac:dyDescent="0.3"/>
  <cols>
    <col min="1" max="8" width="8.77734375" customWidth="1"/>
    <col min="9" max="9" width="8.88671875" customWidth="1"/>
    <col min="10" max="11" width="8.77734375" customWidth="1"/>
    <col min="26" max="26" width="8.88671875" customWidth="1"/>
  </cols>
  <sheetData>
    <row r="1" spans="1:11" ht="14.4" customHeight="1" x14ac:dyDescent="0.3">
      <c r="A1" s="169" t="str">
        <f>Dashboard!G6</f>
        <v>Iron Condor</v>
      </c>
      <c r="B1" s="169"/>
      <c r="C1" s="169"/>
      <c r="D1" s="169"/>
      <c r="E1" s="169"/>
      <c r="F1" s="169"/>
      <c r="G1" s="169"/>
      <c r="H1" s="169"/>
      <c r="I1" s="169"/>
      <c r="J1" s="169"/>
    </row>
    <row r="2" spans="1:11" ht="14.4" customHeight="1" x14ac:dyDescent="0.3">
      <c r="A2" s="169"/>
      <c r="B2" s="169"/>
      <c r="C2" s="169"/>
      <c r="D2" s="169"/>
      <c r="E2" s="169"/>
      <c r="F2" s="169"/>
      <c r="G2" s="169"/>
      <c r="H2" s="169"/>
      <c r="I2" s="169"/>
      <c r="J2" s="169"/>
    </row>
    <row r="3" spans="1:11" ht="14.4" customHeight="1" x14ac:dyDescent="0.3">
      <c r="A3" s="169"/>
      <c r="B3" s="169"/>
      <c r="C3" s="169"/>
      <c r="D3" s="169"/>
      <c r="E3" s="169"/>
      <c r="F3" s="169"/>
      <c r="G3" s="169"/>
      <c r="H3" s="169"/>
      <c r="I3" s="169"/>
      <c r="J3" s="169"/>
    </row>
    <row r="4" spans="1:11" ht="14.4" customHeight="1" x14ac:dyDescent="0.3">
      <c r="A4" s="174" t="s">
        <v>208</v>
      </c>
      <c r="B4" s="174"/>
      <c r="C4" s="174"/>
      <c r="D4" s="174"/>
      <c r="E4" s="174"/>
      <c r="F4" s="174"/>
      <c r="G4" s="174"/>
      <c r="H4" s="174"/>
      <c r="I4" s="174"/>
      <c r="J4" s="174"/>
      <c r="K4" s="174"/>
    </row>
    <row r="5" spans="1:11" ht="14.4" customHeight="1" x14ac:dyDescent="0.3">
      <c r="A5" s="174"/>
      <c r="B5" s="174"/>
      <c r="C5" s="174"/>
      <c r="D5" s="174"/>
      <c r="E5" s="174"/>
      <c r="F5" s="174"/>
      <c r="G5" s="174"/>
      <c r="H5" s="174"/>
      <c r="I5" s="174"/>
      <c r="J5" s="174"/>
      <c r="K5" s="174"/>
    </row>
    <row r="6" spans="1:11" ht="14.4" customHeight="1" x14ac:dyDescent="0.3">
      <c r="A6" s="174"/>
      <c r="B6" s="174"/>
      <c r="C6" s="174"/>
      <c r="D6" s="174"/>
      <c r="E6" s="174"/>
      <c r="F6" s="174"/>
      <c r="G6" s="174"/>
      <c r="H6" s="174"/>
      <c r="I6" s="174"/>
      <c r="J6" s="174"/>
      <c r="K6" s="174"/>
    </row>
    <row r="7" spans="1:11" x14ac:dyDescent="0.3">
      <c r="A7" s="170" t="s">
        <v>217</v>
      </c>
      <c r="B7" s="170"/>
      <c r="I7" s="170" t="s">
        <v>725</v>
      </c>
      <c r="J7" s="170"/>
    </row>
    <row r="8" spans="1:11" ht="14.4" customHeight="1" x14ac:dyDescent="0.3">
      <c r="A8" s="171"/>
      <c r="B8" s="171"/>
      <c r="C8" s="13"/>
      <c r="D8" s="13"/>
      <c r="E8" s="13"/>
      <c r="F8" s="13"/>
      <c r="G8" s="13"/>
      <c r="H8" s="13"/>
      <c r="I8" s="171"/>
      <c r="J8" s="171"/>
      <c r="K8" s="13"/>
    </row>
    <row r="9" spans="1:11" ht="14.4" customHeight="1" x14ac:dyDescent="0.3">
      <c r="A9" s="14" t="s">
        <v>86</v>
      </c>
      <c r="B9" s="10"/>
      <c r="C9" s="9" t="str">
        <f>BBG_Data!B2</f>
        <v>MSFT US Equity</v>
      </c>
      <c r="D9" s="9"/>
      <c r="E9" s="14" t="s">
        <v>211</v>
      </c>
      <c r="F9" s="9"/>
      <c r="G9" s="113">
        <f>BBG_Data!B6</f>
        <v>479.28</v>
      </c>
      <c r="I9" s="105" t="s">
        <v>726</v>
      </c>
      <c r="J9" s="105"/>
      <c r="K9" s="103">
        <f>IF(Stock_Pos&lt;&gt;"",Stock_Pos,"-")</f>
        <v>150</v>
      </c>
    </row>
    <row r="10" spans="1:11" x14ac:dyDescent="0.3">
      <c r="A10" s="14" t="s">
        <v>144</v>
      </c>
      <c r="B10" s="9"/>
      <c r="C10" s="9" t="str">
        <f>BBG_Data!B3</f>
        <v>Microsoft Corp</v>
      </c>
      <c r="D10" s="9"/>
      <c r="E10" s="14" t="s">
        <v>218</v>
      </c>
      <c r="F10" s="9"/>
      <c r="G10" s="19">
        <f>BBG_Data!B7/100</f>
        <v>0</v>
      </c>
      <c r="I10" s="9" t="s">
        <v>727</v>
      </c>
      <c r="J10" s="172">
        <f>IF(Stock_AvgCost&lt;&gt;"",Stock_AvgCost,"-")</f>
        <v>340</v>
      </c>
      <c r="K10" s="172"/>
    </row>
    <row r="11" spans="1:11" x14ac:dyDescent="0.3">
      <c r="A11" s="14" t="s">
        <v>210</v>
      </c>
      <c r="B11" s="9"/>
      <c r="C11" s="9" t="str">
        <f>BBG_Data!B4</f>
        <v>Information Technology</v>
      </c>
      <c r="D11" s="9"/>
      <c r="E11" s="14" t="s">
        <v>212</v>
      </c>
      <c r="F11" s="9"/>
      <c r="G11" s="113">
        <f>BBG_Data!B12</f>
        <v>555.45000000000005</v>
      </c>
      <c r="I11" s="9" t="s">
        <v>728</v>
      </c>
      <c r="J11" s="172">
        <f>IF(Stock_Pos&lt;&gt;"",Stock_MktValue,"-")</f>
        <v>71892</v>
      </c>
      <c r="K11" s="172"/>
    </row>
    <row r="12" spans="1:11" x14ac:dyDescent="0.3">
      <c r="A12" s="14" t="s">
        <v>219</v>
      </c>
      <c r="B12" s="9"/>
      <c r="C12" s="9" t="str">
        <f>BBG_Data!B20</f>
        <v>buy</v>
      </c>
      <c r="D12" s="9"/>
      <c r="E12" s="14" t="s">
        <v>213</v>
      </c>
      <c r="F12" s="9"/>
      <c r="G12" s="113">
        <f>BBG_Data!B13</f>
        <v>344.79</v>
      </c>
      <c r="I12" s="9" t="s">
        <v>731</v>
      </c>
      <c r="J12" s="172">
        <f>IF(Stock_Pos&lt;&gt;"",ABS(Stock_CostBasis),"-")</f>
        <v>51000</v>
      </c>
      <c r="K12" s="172"/>
    </row>
    <row r="13" spans="1:11" x14ac:dyDescent="0.3">
      <c r="A13" s="14" t="s">
        <v>220</v>
      </c>
      <c r="B13" s="9"/>
      <c r="C13" s="15">
        <f>BBG_Data!B21</f>
        <v>650</v>
      </c>
      <c r="D13" s="9"/>
      <c r="E13" s="14" t="s">
        <v>147</v>
      </c>
      <c r="F13" s="9"/>
      <c r="G13" s="11">
        <f>BBG_Div</f>
        <v>0.75947256403442143</v>
      </c>
      <c r="I13" s="9" t="s">
        <v>729</v>
      </c>
      <c r="J13" s="104"/>
      <c r="K13" s="113">
        <f>IF(Stock_Pos&lt;&gt;"",Stock_PnL,"-")</f>
        <v>20892</v>
      </c>
    </row>
    <row r="14" spans="1:11" x14ac:dyDescent="0.3">
      <c r="A14" s="14" t="s">
        <v>221</v>
      </c>
      <c r="B14" s="9"/>
      <c r="C14" s="9"/>
      <c r="D14" s="9"/>
      <c r="E14" s="14" t="s">
        <v>151</v>
      </c>
      <c r="F14" s="9"/>
      <c r="G14" s="12">
        <f>BBG_Data!B19</f>
        <v>46050</v>
      </c>
      <c r="I14" s="9" t="s">
        <v>730</v>
      </c>
      <c r="J14" s="173">
        <f>IF(Stock_Pos&lt;&gt;"",Stock_MktValue/ABS(Stock_CostBasis)-1,"-")</f>
        <v>0.40964705882352948</v>
      </c>
      <c r="K14" s="173"/>
    </row>
    <row r="15" spans="1:11" ht="14.4" customHeight="1" x14ac:dyDescent="0.3">
      <c r="A15" s="170" t="s">
        <v>222</v>
      </c>
      <c r="B15" s="170"/>
      <c r="C15" s="170"/>
    </row>
    <row r="16" spans="1:11" ht="14.4" customHeight="1" x14ac:dyDescent="0.3">
      <c r="A16" s="171"/>
      <c r="B16" s="171"/>
      <c r="C16" s="171"/>
      <c r="D16" s="13"/>
      <c r="E16" s="13"/>
      <c r="F16" s="13"/>
      <c r="G16" s="13"/>
      <c r="H16" s="13"/>
      <c r="I16" s="13"/>
      <c r="J16" s="13"/>
      <c r="K16" s="13"/>
    </row>
    <row r="17" spans="1:11" ht="14.4" customHeight="1" x14ac:dyDescent="0.3">
      <c r="A17" s="175" t="str">
        <f>VLOOKUP(Dashboard!D6,StrategyMap!A:U,21,FALSE)</f>
        <v>An iron condor consists of selling an out-of-the-money put spread and selling an out-of-the-money call spread. It profits if the stock price remains between the two short strikes (the inner range).</v>
      </c>
      <c r="B17" s="175"/>
      <c r="C17" s="175"/>
      <c r="D17" s="175"/>
      <c r="E17" s="175"/>
      <c r="F17" s="175"/>
      <c r="G17" s="175"/>
      <c r="H17" s="175"/>
      <c r="I17" s="175"/>
      <c r="J17" s="175"/>
      <c r="K17" s="175"/>
    </row>
    <row r="18" spans="1:11" x14ac:dyDescent="0.3">
      <c r="A18" s="176"/>
      <c r="B18" s="176"/>
      <c r="C18" s="176"/>
      <c r="D18" s="176"/>
      <c r="E18" s="176"/>
      <c r="F18" s="176"/>
      <c r="G18" s="176"/>
      <c r="H18" s="176"/>
      <c r="I18" s="176"/>
      <c r="J18" s="176"/>
      <c r="K18" s="176"/>
    </row>
    <row r="19" spans="1:11" x14ac:dyDescent="0.3">
      <c r="A19" s="176"/>
      <c r="B19" s="176"/>
      <c r="C19" s="176"/>
      <c r="D19" s="176"/>
      <c r="E19" s="176"/>
      <c r="F19" s="176"/>
      <c r="G19" s="176"/>
      <c r="H19" s="176"/>
      <c r="I19" s="176"/>
      <c r="J19" s="176"/>
      <c r="K19" s="176"/>
    </row>
    <row r="20" spans="1:11" x14ac:dyDescent="0.3">
      <c r="A20" s="106" t="str">
        <f ca="1">"Option Leg(s) for " &amp; Dashboard!G6 &amp;" strategy "&amp;"("&amp; Disp_DTE &amp;" DTE)"&amp;" on "&amp;BBG_Data!B25</f>
        <v>Option Leg(s) for Iron Condor strategy (67 DTE) on MSFT</v>
      </c>
      <c r="D20" s="94"/>
      <c r="E20" s="94"/>
      <c r="F20" s="94"/>
      <c r="I20" s="20" t="s">
        <v>215</v>
      </c>
      <c r="J20" s="20" t="s">
        <v>164</v>
      </c>
      <c r="K20" s="20" t="s">
        <v>225</v>
      </c>
    </row>
    <row r="21" spans="1:11" ht="14.4" customHeight="1" x14ac:dyDescent="0.3">
      <c r="A21" s="107" t="str">
        <f>IF(Leg1_Pos&lt;&gt;"","1)","")</f>
        <v>1)</v>
      </c>
      <c r="B21" s="177" t="str">
        <f>IF(Leg1_Pos&lt;&gt;"",HelperFields!H5&amp;HelperFields!I5&amp;HelperFields!K5&amp;HelperFields!L5&amp;HelperFields!J5&amp;HelperFields!M5,"")</f>
        <v>Buy 1 March 20, 2026   $400 Put$2.24</v>
      </c>
      <c r="C21" s="177"/>
      <c r="D21" s="177"/>
      <c r="E21" s="177"/>
      <c r="F21" s="177"/>
      <c r="H21" s="9"/>
      <c r="I21" s="11">
        <f>IF(Leg1_Pos&lt;&gt;"",BBG_Data!Q3,"")</f>
        <v>-7.293199747800827E-2</v>
      </c>
      <c r="J21" s="19">
        <f>IF(Leg1_Pos&lt;&gt;"",BBG_Data!S3,"")</f>
        <v>0.16541478884994154</v>
      </c>
      <c r="K21" s="113">
        <f>IF(Leg1_Pos&lt;&gt;"",Dashboard!H11,"")</f>
        <v>-224.00000000000003</v>
      </c>
    </row>
    <row r="22" spans="1:11" x14ac:dyDescent="0.3">
      <c r="A22" s="107" t="str">
        <f>IF(Leg2_Pos&lt;&gt;"","2)","")</f>
        <v>2)</v>
      </c>
      <c r="B22" s="177" t="str">
        <f>IF(Leg2_Pos&lt;&gt;"",HelperFields!H6&amp;HelperFields!I6&amp;HelperFields!K6&amp;HelperFields!L6&amp;HelperFields!J6&amp;HelperFields!M6,"")</f>
        <v>Sell 1 March 20, 2026   $450 Put$9.50</v>
      </c>
      <c r="C22" s="177"/>
      <c r="D22" s="177"/>
      <c r="E22" s="177"/>
      <c r="F22" s="177"/>
      <c r="H22" s="9"/>
      <c r="I22" s="11">
        <f>IF(Leg2_Pos&lt;&gt;"",BBG_Data!Q4,"")</f>
        <v>-0.26335498690605164</v>
      </c>
      <c r="J22" s="19">
        <f>IF(Leg2_Pos&lt;&gt;"",BBG_Data!S4,"")</f>
        <v>6.109163745618422E-2</v>
      </c>
      <c r="K22" s="113">
        <f>IF(Leg2_Pos&lt;&gt;"",Dashboard!H12,"")</f>
        <v>950</v>
      </c>
    </row>
    <row r="23" spans="1:11" x14ac:dyDescent="0.3">
      <c r="A23" s="107" t="str">
        <f>IF(Leg3_Pos&lt;&gt;"","3)","")</f>
        <v>3)</v>
      </c>
      <c r="B23" s="177" t="str">
        <f>IF(Leg3_Pos&lt;&gt;"",HelperFields!H7&amp;HelperFields!I7&amp;HelperFields!K7&amp;HelperFields!L7&amp;HelperFields!J7&amp;HelperFields!M7,"")</f>
        <v>Sell 1 March 20, 2026   $500 Call$13.50</v>
      </c>
      <c r="C23" s="177"/>
      <c r="D23" s="177"/>
      <c r="E23" s="177"/>
      <c r="F23" s="177"/>
      <c r="H23" s="9"/>
      <c r="I23" s="11">
        <f>IF(Leg3_Pos&lt;&gt;"",BBG_Data!Q5,"")</f>
        <v>0.39017599821090698</v>
      </c>
      <c r="J23" s="19">
        <f>IF(Leg3_Pos&lt;&gt;"",BBG_Data!S5,"")</f>
        <v>4.3231513937573088E-2</v>
      </c>
      <c r="K23" s="113">
        <f>IF(Leg3_Pos&lt;&gt;"",Dashboard!H13,"")</f>
        <v>1350</v>
      </c>
    </row>
    <row r="24" spans="1:11" x14ac:dyDescent="0.3">
      <c r="A24" s="107" t="str">
        <f>IF(Leg4_Pos&lt;&gt;"","4)","")</f>
        <v>4)</v>
      </c>
      <c r="B24" s="177" t="str">
        <f>IF(Leg4_Pos&lt;&gt;"",HelperFields!H8&amp;HelperFields!I8&amp;HelperFields!K8&amp;HelperFields!L8&amp;HelperFields!J8&amp;HelperFields!M8,"")</f>
        <v>Buy 1 March 20, 2026   $550 Call$2.89</v>
      </c>
      <c r="C24" s="177"/>
      <c r="D24" s="177"/>
      <c r="E24" s="177"/>
      <c r="F24" s="177"/>
      <c r="H24" s="9"/>
      <c r="I24" s="11">
        <f>IF(Leg4_Pos&lt;&gt;"",BBG_Data!Q6,"")</f>
        <v>0.11820600181818008</v>
      </c>
      <c r="J24" s="19">
        <f>IF(Leg4_Pos&lt;&gt;"",BBG_Data!S6,"")</f>
        <v>0.14755466533133038</v>
      </c>
      <c r="K24" s="113">
        <f>IF(Leg4_Pos&lt;&gt;"",Dashboard!H14,"")</f>
        <v>-289</v>
      </c>
    </row>
    <row r="25" spans="1:11" x14ac:dyDescent="0.3">
      <c r="I25" s="19"/>
      <c r="K25" s="114">
        <f>Net_Prem</f>
        <v>1787</v>
      </c>
    </row>
    <row r="29" spans="1:11" x14ac:dyDescent="0.3">
      <c r="H29" s="210"/>
      <c r="I29" s="180" t="s">
        <v>232</v>
      </c>
      <c r="J29" s="205" t="s">
        <v>193</v>
      </c>
      <c r="K29" s="206" t="s">
        <v>194</v>
      </c>
    </row>
    <row r="30" spans="1:11" x14ac:dyDescent="0.3">
      <c r="H30" s="210"/>
      <c r="I30" s="207" t="s">
        <v>233</v>
      </c>
      <c r="J30" s="207">
        <v>41240</v>
      </c>
      <c r="K30" s="207" t="s">
        <v>252</v>
      </c>
    </row>
    <row r="31" spans="1:11" x14ac:dyDescent="0.3">
      <c r="H31" s="210"/>
      <c r="I31" s="207" t="s">
        <v>234</v>
      </c>
      <c r="J31" s="207">
        <v>-3760</v>
      </c>
      <c r="K31" s="207">
        <v>-1760.0000000000073</v>
      </c>
    </row>
    <row r="32" spans="1:11" x14ac:dyDescent="0.3">
      <c r="H32" s="210"/>
      <c r="I32" s="207" t="s">
        <v>715</v>
      </c>
      <c r="J32" s="207">
        <v>1240.0000000000002</v>
      </c>
      <c r="K32" s="207">
        <v>44240</v>
      </c>
    </row>
    <row r="33" spans="1:11" x14ac:dyDescent="0.3">
      <c r="H33" s="210"/>
      <c r="I33" s="207" t="s">
        <v>716</v>
      </c>
      <c r="J33" s="208">
        <v>33.258064516129025</v>
      </c>
      <c r="K33" s="208" t="s">
        <v>252</v>
      </c>
    </row>
    <row r="34" spans="1:11" x14ac:dyDescent="0.3">
      <c r="H34" s="210"/>
      <c r="I34" s="207" t="s">
        <v>717</v>
      </c>
      <c r="J34" s="208">
        <v>-3.0322580645161286</v>
      </c>
      <c r="K34" s="208">
        <v>-3.9783001808318431E-2</v>
      </c>
    </row>
    <row r="35" spans="1:11" x14ac:dyDescent="0.3">
      <c r="H35" s="210"/>
      <c r="I35" s="207" t="s">
        <v>718</v>
      </c>
      <c r="J35" s="208">
        <v>178.51755218216314</v>
      </c>
      <c r="K35" s="208" t="s">
        <v>252</v>
      </c>
    </row>
    <row r="36" spans="1:11" x14ac:dyDescent="0.3">
      <c r="H36" s="210"/>
      <c r="I36" s="207" t="s">
        <v>235</v>
      </c>
      <c r="J36" s="209">
        <v>10.968085106382979</v>
      </c>
      <c r="K36" s="209" t="s">
        <v>185</v>
      </c>
    </row>
    <row r="37" spans="1:11" x14ac:dyDescent="0.3">
      <c r="H37" s="210"/>
      <c r="I37" s="207" t="s">
        <v>237</v>
      </c>
      <c r="J37" s="207">
        <v>-1240.0000000000002</v>
      </c>
      <c r="K37" s="207">
        <v>41760</v>
      </c>
    </row>
    <row r="38" spans="1:11" x14ac:dyDescent="0.3">
      <c r="H38" s="210"/>
      <c r="I38" s="207" t="s">
        <v>236</v>
      </c>
      <c r="J38" s="207">
        <v>143784</v>
      </c>
      <c r="K38" s="207">
        <v>191712</v>
      </c>
    </row>
    <row r="39" spans="1:11" x14ac:dyDescent="0.3">
      <c r="H39" s="210"/>
      <c r="I39" s="207" t="s">
        <v>719</v>
      </c>
      <c r="J39" s="207">
        <v>-6.2000000000000011</v>
      </c>
      <c r="K39" s="207">
        <v>-6.2000000000000011</v>
      </c>
    </row>
    <row r="40" spans="1:11" x14ac:dyDescent="0.3">
      <c r="H40" s="210"/>
      <c r="I40" s="207" t="s">
        <v>720</v>
      </c>
      <c r="J40" s="208">
        <v>-1.2936070772825908E-2</v>
      </c>
      <c r="K40" s="208">
        <v>-1.2936070772825908E-2</v>
      </c>
    </row>
    <row r="41" spans="1:11" x14ac:dyDescent="0.3">
      <c r="H41" s="210"/>
      <c r="I41" s="207" t="s">
        <v>721</v>
      </c>
      <c r="J41" s="207">
        <v>487.6</v>
      </c>
      <c r="K41" s="207">
        <v>458.8</v>
      </c>
    </row>
    <row r="42" spans="1:11" x14ac:dyDescent="0.3">
      <c r="H42" s="210"/>
      <c r="I42" s="207" t="s">
        <v>722</v>
      </c>
      <c r="J42" s="208">
        <v>1.735937239192132E-2</v>
      </c>
      <c r="K42" s="208">
        <v>-4.2730762810882915E-2</v>
      </c>
    </row>
    <row r="43" spans="1:11" x14ac:dyDescent="0.3">
      <c r="H43" s="210"/>
      <c r="I43" s="207" t="s">
        <v>723</v>
      </c>
      <c r="J43" s="207">
        <v>66.88</v>
      </c>
      <c r="K43" s="207">
        <v>20.479999999999961</v>
      </c>
    </row>
    <row r="44" spans="1:11" x14ac:dyDescent="0.3">
      <c r="H44" s="210"/>
      <c r="I44" s="207" t="s">
        <v>724</v>
      </c>
      <c r="J44" s="208">
        <v>0.13954264730428978</v>
      </c>
      <c r="K44" s="208">
        <v>4.2730762810882915E-2</v>
      </c>
    </row>
    <row r="45" spans="1:11" ht="14.4" customHeight="1" x14ac:dyDescent="0.35">
      <c r="A45" s="170" t="s">
        <v>564</v>
      </c>
      <c r="B45" s="170"/>
      <c r="C45" s="170"/>
      <c r="D45" s="170"/>
      <c r="E45" s="108"/>
      <c r="F45" s="108"/>
      <c r="G45" s="108"/>
      <c r="H45" s="211"/>
      <c r="I45" s="212"/>
      <c r="J45" s="212"/>
      <c r="K45" s="213"/>
    </row>
    <row r="46" spans="1:11" ht="14.4" customHeight="1" x14ac:dyDescent="0.35">
      <c r="A46" s="171"/>
      <c r="B46" s="171"/>
      <c r="C46" s="171"/>
      <c r="D46" s="171"/>
      <c r="E46" s="109"/>
      <c r="F46" s="109"/>
      <c r="G46" s="109"/>
      <c r="H46" s="109"/>
      <c r="I46" s="109"/>
      <c r="J46" s="109"/>
      <c r="K46" s="109"/>
    </row>
    <row r="48" spans="1:11" x14ac:dyDescent="0.3">
      <c r="A48" s="135" t="s">
        <v>195</v>
      </c>
      <c r="B48" s="136" t="s">
        <v>88</v>
      </c>
      <c r="C48" s="137" t="s">
        <v>226</v>
      </c>
      <c r="D48" s="139"/>
      <c r="E48" s="140" t="s">
        <v>132</v>
      </c>
      <c r="F48" s="139"/>
      <c r="G48" s="140" t="s">
        <v>133</v>
      </c>
      <c r="H48" s="138" t="s">
        <v>318</v>
      </c>
      <c r="I48" s="139"/>
      <c r="J48" s="140" t="s">
        <v>253</v>
      </c>
      <c r="K48" s="138" t="s">
        <v>254</v>
      </c>
    </row>
    <row r="49" spans="1:11" x14ac:dyDescent="0.3">
      <c r="A49" s="195" t="s">
        <v>229</v>
      </c>
      <c r="B49" s="196">
        <v>0</v>
      </c>
      <c r="C49" s="197">
        <v>-1</v>
      </c>
      <c r="D49" s="198"/>
      <c r="E49" s="199">
        <v>-1700000</v>
      </c>
      <c r="F49" s="198"/>
      <c r="G49" s="199">
        <v>-319145.0893150685</v>
      </c>
      <c r="H49" s="200">
        <v>-0.99329315068493151</v>
      </c>
      <c r="I49" s="198"/>
      <c r="J49" s="199">
        <v>-2019145.0893150684</v>
      </c>
      <c r="K49" s="200">
        <v>-0.99893389863704962</v>
      </c>
    </row>
    <row r="50" spans="1:11" x14ac:dyDescent="0.3">
      <c r="A50" s="195" t="s">
        <v>317</v>
      </c>
      <c r="B50" s="196">
        <v>340</v>
      </c>
      <c r="C50" s="197">
        <v>-0.29060257052245031</v>
      </c>
      <c r="D50" s="198"/>
      <c r="E50" s="199">
        <v>0</v>
      </c>
      <c r="F50" s="198"/>
      <c r="G50" s="199">
        <v>-319145.0893150685</v>
      </c>
      <c r="H50" s="200">
        <v>-0.99329315068493151</v>
      </c>
      <c r="I50" s="198"/>
      <c r="J50" s="199">
        <v>-319145.0893150685</v>
      </c>
      <c r="K50" s="200">
        <v>-0.15789100544949711</v>
      </c>
    </row>
    <row r="51" spans="1:11" x14ac:dyDescent="0.3">
      <c r="A51" s="195" t="s">
        <v>238</v>
      </c>
      <c r="B51" s="196">
        <v>400</v>
      </c>
      <c r="C51" s="197">
        <v>-0.16541478884994154</v>
      </c>
      <c r="D51" s="198"/>
      <c r="E51" s="199">
        <v>300000</v>
      </c>
      <c r="F51" s="198"/>
      <c r="G51" s="199">
        <v>-319145.0893150685</v>
      </c>
      <c r="H51" s="200">
        <v>-0.99329315068493151</v>
      </c>
      <c r="I51" s="198"/>
      <c r="J51" s="199">
        <v>-19145.089315068493</v>
      </c>
      <c r="K51" s="200">
        <v>-9.4716713575760617E-3</v>
      </c>
    </row>
    <row r="52" spans="1:11" x14ac:dyDescent="0.3">
      <c r="A52" s="195" t="s">
        <v>255</v>
      </c>
      <c r="B52" s="196">
        <v>401.28</v>
      </c>
      <c r="C52" s="197">
        <v>-0.16274411617426141</v>
      </c>
      <c r="D52" s="198"/>
      <c r="E52" s="199">
        <v>306399.99999999988</v>
      </c>
      <c r="F52" s="198"/>
      <c r="G52" s="199">
        <v>-306345.08931506879</v>
      </c>
      <c r="H52" s="200">
        <v>-0.95345499319971616</v>
      </c>
      <c r="I52" s="198"/>
      <c r="J52" s="199">
        <v>54.910684931099695</v>
      </c>
      <c r="K52" s="200">
        <v>2.7166024306683667E-5</v>
      </c>
    </row>
    <row r="53" spans="1:11" x14ac:dyDescent="0.3">
      <c r="A53" s="195" t="s">
        <v>467</v>
      </c>
      <c r="B53" s="196">
        <v>450</v>
      </c>
      <c r="C53" s="197">
        <v>-6.109163745618422E-2</v>
      </c>
      <c r="D53" s="198"/>
      <c r="E53" s="199">
        <v>550000</v>
      </c>
      <c r="F53" s="198"/>
      <c r="G53" s="199">
        <v>180854.9106849315</v>
      </c>
      <c r="H53" s="200">
        <v>0.56288487608133053</v>
      </c>
      <c r="I53" s="198"/>
      <c r="J53" s="199">
        <v>730854.91068493156</v>
      </c>
      <c r="K53" s="200">
        <v>0.36157666387222659</v>
      </c>
    </row>
    <row r="54" spans="1:11" x14ac:dyDescent="0.3">
      <c r="A54" s="195" t="s">
        <v>228</v>
      </c>
      <c r="B54" s="196">
        <v>479.28</v>
      </c>
      <c r="C54" s="197">
        <v>0</v>
      </c>
      <c r="D54" s="198"/>
      <c r="E54" s="199">
        <v>696399.99999999988</v>
      </c>
      <c r="F54" s="198"/>
      <c r="G54" s="199">
        <v>180854.9106849315</v>
      </c>
      <c r="H54" s="200">
        <v>0.56288487608133053</v>
      </c>
      <c r="I54" s="198"/>
      <c r="J54" s="199">
        <v>877254.91068493144</v>
      </c>
      <c r="K54" s="200">
        <v>0.43400529890908396</v>
      </c>
    </row>
    <row r="55" spans="1:11" x14ac:dyDescent="0.3">
      <c r="A55" s="195" t="s">
        <v>468</v>
      </c>
      <c r="B55" s="196">
        <v>500</v>
      </c>
      <c r="C55" s="197">
        <v>4.3231513937573088E-2</v>
      </c>
      <c r="D55" s="198"/>
      <c r="E55" s="199">
        <v>800000</v>
      </c>
      <c r="F55" s="198"/>
      <c r="G55" s="199">
        <v>180854.9106849315</v>
      </c>
      <c r="H55" s="200">
        <v>0.56288487608133053</v>
      </c>
      <c r="I55" s="198"/>
      <c r="J55" s="199">
        <v>980854.91068493156</v>
      </c>
      <c r="K55" s="200">
        <v>0.48525944228216078</v>
      </c>
    </row>
    <row r="56" spans="1:11" x14ac:dyDescent="0.3">
      <c r="A56" s="195" t="s">
        <v>469</v>
      </c>
      <c r="B56" s="196">
        <v>550</v>
      </c>
      <c r="C56" s="197">
        <v>0.14755466533133038</v>
      </c>
      <c r="D56" s="198"/>
      <c r="E56" s="199">
        <v>1050000</v>
      </c>
      <c r="F56" s="198"/>
      <c r="G56" s="199">
        <v>-319145.0893150685</v>
      </c>
      <c r="H56" s="200">
        <v>-0.99329315068493151</v>
      </c>
      <c r="I56" s="198"/>
      <c r="J56" s="199">
        <v>730854.91068493156</v>
      </c>
      <c r="K56" s="200">
        <v>0.36157666387222659</v>
      </c>
    </row>
    <row r="57" spans="1:11" x14ac:dyDescent="0.3">
      <c r="A57" s="228" t="s">
        <v>230</v>
      </c>
      <c r="B57" s="229" t="s">
        <v>231</v>
      </c>
      <c r="C57" s="230" t="s">
        <v>239</v>
      </c>
      <c r="D57" s="231"/>
      <c r="E57" s="232" t="s">
        <v>231</v>
      </c>
      <c r="F57" s="231"/>
      <c r="G57" s="232">
        <v>-319145.0893150685</v>
      </c>
      <c r="H57" s="233">
        <v>-0.99329315068493151</v>
      </c>
      <c r="I57" s="231"/>
      <c r="J57" s="232" t="s">
        <v>252</v>
      </c>
      <c r="K57" s="233" t="s">
        <v>252</v>
      </c>
    </row>
    <row r="58" spans="1:11" x14ac:dyDescent="0.3">
      <c r="A58" s="201" t="s">
        <v>776</v>
      </c>
      <c r="B58" s="201"/>
      <c r="C58" s="201" t="s">
        <v>777</v>
      </c>
      <c r="D58" s="201"/>
      <c r="E58" s="201"/>
      <c r="F58" s="201"/>
      <c r="G58" s="201"/>
      <c r="H58" s="201"/>
      <c r="I58" s="201"/>
      <c r="J58" s="201"/>
      <c r="K58" s="201"/>
    </row>
    <row r="59" spans="1:11" ht="55.2" customHeight="1" x14ac:dyDescent="0.3">
      <c r="A59" s="202" t="s">
        <v>229</v>
      </c>
      <c r="B59" s="202"/>
      <c r="C59" s="203" t="s">
        <v>1345</v>
      </c>
      <c r="D59" s="203"/>
      <c r="E59" s="203"/>
      <c r="F59" s="203"/>
      <c r="G59" s="203"/>
      <c r="H59" s="203"/>
      <c r="I59" s="203"/>
      <c r="J59" s="203"/>
      <c r="K59" s="203"/>
    </row>
    <row r="60" spans="1:11" ht="41.4" customHeight="1" x14ac:dyDescent="0.3">
      <c r="A60" s="202" t="s">
        <v>317</v>
      </c>
      <c r="B60" s="202"/>
      <c r="C60" s="203" t="s">
        <v>1356</v>
      </c>
      <c r="D60" s="203"/>
      <c r="E60" s="203"/>
      <c r="F60" s="203"/>
      <c r="G60" s="203"/>
      <c r="H60" s="203"/>
      <c r="I60" s="203"/>
      <c r="J60" s="203"/>
      <c r="K60" s="203"/>
    </row>
    <row r="61" spans="1:11" ht="55.2" customHeight="1" x14ac:dyDescent="0.3">
      <c r="A61" s="202" t="s">
        <v>238</v>
      </c>
      <c r="B61" s="202"/>
      <c r="C61" s="203" t="s">
        <v>1364</v>
      </c>
      <c r="D61" s="203"/>
      <c r="E61" s="203"/>
      <c r="F61" s="203"/>
      <c r="G61" s="203"/>
      <c r="H61" s="203"/>
      <c r="I61" s="203"/>
      <c r="J61" s="203"/>
      <c r="K61" s="203"/>
    </row>
    <row r="62" spans="1:11" ht="15" customHeight="1" x14ac:dyDescent="0.3">
      <c r="A62" s="202" t="s">
        <v>255</v>
      </c>
      <c r="B62" s="202"/>
      <c r="C62" s="203" t="s">
        <v>1362</v>
      </c>
      <c r="D62" s="203"/>
      <c r="E62" s="203"/>
      <c r="F62" s="203"/>
      <c r="G62" s="203"/>
      <c r="H62" s="203"/>
      <c r="I62" s="203"/>
      <c r="J62" s="203"/>
      <c r="K62" s="203"/>
    </row>
    <row r="63" spans="1:11" ht="41.4" customHeight="1" x14ac:dyDescent="0.3">
      <c r="A63" s="202" t="s">
        <v>467</v>
      </c>
      <c r="B63" s="202"/>
      <c r="C63" s="203" t="s">
        <v>1359</v>
      </c>
      <c r="D63" s="203"/>
      <c r="E63" s="203"/>
      <c r="F63" s="203"/>
      <c r="G63" s="203"/>
      <c r="H63" s="203"/>
      <c r="I63" s="203"/>
      <c r="J63" s="203"/>
      <c r="K63" s="203"/>
    </row>
    <row r="64" spans="1:11" ht="15" customHeight="1" x14ac:dyDescent="0.3">
      <c r="A64" s="202" t="s">
        <v>228</v>
      </c>
      <c r="B64" s="202"/>
      <c r="C64" s="203" t="s">
        <v>1363</v>
      </c>
      <c r="D64" s="203"/>
      <c r="E64" s="203"/>
      <c r="F64" s="203"/>
      <c r="G64" s="203"/>
      <c r="H64" s="203"/>
      <c r="I64" s="203"/>
      <c r="J64" s="203"/>
      <c r="K64" s="203"/>
    </row>
    <row r="65" spans="1:11" ht="41.4" customHeight="1" x14ac:dyDescent="0.3">
      <c r="A65" s="202" t="s">
        <v>468</v>
      </c>
      <c r="B65" s="202"/>
      <c r="C65" s="203" t="s">
        <v>1359</v>
      </c>
      <c r="D65" s="203"/>
      <c r="E65" s="203"/>
      <c r="F65" s="203"/>
      <c r="G65" s="203"/>
      <c r="H65" s="203"/>
      <c r="I65" s="203"/>
      <c r="J65" s="203"/>
      <c r="K65" s="203"/>
    </row>
    <row r="66" spans="1:11" ht="55.2" customHeight="1" x14ac:dyDescent="0.3">
      <c r="A66" s="202" t="s">
        <v>469</v>
      </c>
      <c r="B66" s="202"/>
      <c r="C66" s="203" t="s">
        <v>1347</v>
      </c>
      <c r="D66" s="203"/>
      <c r="E66" s="203"/>
      <c r="F66" s="203"/>
      <c r="G66" s="203"/>
      <c r="H66" s="203"/>
      <c r="I66" s="203"/>
      <c r="J66" s="203"/>
      <c r="K66" s="203"/>
    </row>
    <row r="67" spans="1:11" ht="41.4" customHeight="1" x14ac:dyDescent="0.3">
      <c r="A67" s="202" t="s">
        <v>230</v>
      </c>
      <c r="B67" s="202"/>
      <c r="C67" s="203" t="s">
        <v>1349</v>
      </c>
      <c r="D67" s="203"/>
      <c r="E67" s="203"/>
      <c r="F67" s="203"/>
      <c r="G67" s="203"/>
      <c r="H67" s="203"/>
      <c r="I67" s="203"/>
      <c r="J67" s="203"/>
      <c r="K67" s="203"/>
    </row>
    <row r="68" spans="1:11" ht="41.4" customHeight="1" x14ac:dyDescent="0.3">
      <c r="A68" s="202"/>
      <c r="B68" s="202"/>
      <c r="C68" s="203"/>
      <c r="D68" s="203"/>
      <c r="E68" s="203"/>
      <c r="F68" s="203"/>
      <c r="G68" s="203"/>
      <c r="H68" s="203"/>
      <c r="I68" s="203"/>
      <c r="J68" s="203"/>
      <c r="K68" s="203"/>
    </row>
    <row r="69" spans="1:11" ht="41.4" customHeight="1" x14ac:dyDescent="0.3">
      <c r="A69" s="202"/>
      <c r="B69" s="202"/>
      <c r="C69" s="203"/>
      <c r="D69" s="203"/>
      <c r="E69" s="203"/>
      <c r="F69" s="203"/>
      <c r="G69" s="203"/>
      <c r="H69" s="203"/>
      <c r="I69" s="203"/>
      <c r="J69" s="203"/>
      <c r="K69" s="203"/>
    </row>
    <row r="70" spans="1:11" ht="14.4" customHeight="1" x14ac:dyDescent="0.3">
      <c r="A70" s="202"/>
      <c r="B70" s="202"/>
      <c r="C70" s="203"/>
      <c r="D70" s="203"/>
      <c r="E70" s="203"/>
      <c r="F70" s="203"/>
      <c r="G70" s="203"/>
      <c r="H70" s="203"/>
      <c r="I70" s="203"/>
      <c r="J70" s="203"/>
      <c r="K70" s="203"/>
    </row>
    <row r="71" spans="1:11" ht="14.4" customHeight="1" x14ac:dyDescent="0.3">
      <c r="A71" s="202"/>
      <c r="B71" s="202"/>
      <c r="C71" s="203"/>
      <c r="D71" s="203"/>
      <c r="E71" s="203"/>
      <c r="F71" s="203"/>
      <c r="G71" s="203"/>
      <c r="H71" s="203"/>
      <c r="I71" s="203"/>
      <c r="J71" s="203"/>
      <c r="K71" s="203"/>
    </row>
    <row r="72" spans="1:11" ht="14.4" customHeight="1" x14ac:dyDescent="0.3">
      <c r="A72" s="202"/>
      <c r="B72" s="202"/>
      <c r="C72" s="203"/>
      <c r="D72" s="203"/>
      <c r="E72" s="203"/>
      <c r="F72" s="203"/>
      <c r="G72" s="203"/>
      <c r="H72" s="203"/>
      <c r="I72" s="203"/>
      <c r="J72" s="203"/>
      <c r="K72" s="203"/>
    </row>
    <row r="73" spans="1:11" ht="14.4" customHeight="1" x14ac:dyDescent="0.3">
      <c r="A73" s="202"/>
      <c r="B73" s="202"/>
      <c r="C73" s="203"/>
      <c r="D73" s="203"/>
      <c r="E73" s="203"/>
      <c r="F73" s="203"/>
      <c r="G73" s="203"/>
      <c r="H73" s="203"/>
      <c r="I73" s="203"/>
      <c r="J73" s="203"/>
      <c r="K73" s="203"/>
    </row>
    <row r="74" spans="1:11" ht="14.4" customHeight="1" x14ac:dyDescent="0.3">
      <c r="A74" s="202"/>
      <c r="B74" s="202"/>
      <c r="C74" s="203"/>
      <c r="D74" s="203"/>
      <c r="E74" s="203"/>
      <c r="F74" s="203"/>
      <c r="G74" s="203"/>
      <c r="H74" s="203"/>
      <c r="I74" s="203"/>
      <c r="J74" s="203"/>
      <c r="K74" s="203"/>
    </row>
    <row r="75" spans="1:11" ht="14.4" customHeight="1" x14ac:dyDescent="0.3">
      <c r="A75" s="202"/>
      <c r="B75" s="202"/>
      <c r="C75" s="203"/>
      <c r="D75" s="203"/>
      <c r="E75" s="203"/>
      <c r="F75" s="203"/>
      <c r="G75" s="203"/>
      <c r="H75" s="203"/>
      <c r="I75" s="203"/>
      <c r="J75" s="203"/>
      <c r="K75" s="203"/>
    </row>
    <row r="76" spans="1:11" x14ac:dyDescent="0.3">
      <c r="A76" s="202"/>
      <c r="B76" s="202"/>
      <c r="C76" s="203"/>
      <c r="D76" s="203"/>
      <c r="E76" s="203"/>
      <c r="F76" s="203"/>
      <c r="G76" s="203"/>
      <c r="H76" s="203"/>
      <c r="I76" s="203"/>
      <c r="J76" s="203"/>
      <c r="K76" s="203"/>
    </row>
    <row r="77" spans="1:11" x14ac:dyDescent="0.3">
      <c r="A77" s="202"/>
      <c r="B77" s="202"/>
      <c r="C77" s="203"/>
      <c r="D77" s="203"/>
      <c r="E77" s="203"/>
      <c r="F77" s="203"/>
      <c r="G77" s="203"/>
      <c r="H77" s="203"/>
      <c r="I77" s="203"/>
      <c r="J77" s="203"/>
      <c r="K77" s="203"/>
    </row>
    <row r="78" spans="1:11" x14ac:dyDescent="0.3">
      <c r="A78" s="202"/>
      <c r="B78" s="202"/>
      <c r="C78" s="203"/>
      <c r="D78" s="203"/>
      <c r="E78" s="203"/>
      <c r="F78" s="203"/>
      <c r="G78" s="203"/>
      <c r="H78" s="203"/>
      <c r="I78" s="203"/>
      <c r="J78" s="203"/>
      <c r="K78" s="203"/>
    </row>
    <row r="79" spans="1:11" x14ac:dyDescent="0.3">
      <c r="A79" s="202"/>
      <c r="B79" s="202"/>
      <c r="C79" s="203"/>
      <c r="D79" s="203"/>
      <c r="E79" s="203"/>
      <c r="F79" s="203"/>
      <c r="G79" s="203"/>
      <c r="H79" s="203"/>
      <c r="I79" s="203"/>
      <c r="J79" s="203"/>
      <c r="K79" s="203"/>
    </row>
    <row r="80" spans="1:11" x14ac:dyDescent="0.3">
      <c r="A80" s="202"/>
      <c r="B80" s="202"/>
      <c r="C80" s="203"/>
      <c r="D80" s="203"/>
      <c r="E80" s="203"/>
      <c r="F80" s="203"/>
      <c r="G80" s="203"/>
      <c r="H80" s="203"/>
      <c r="I80" s="203"/>
      <c r="J80" s="203"/>
      <c r="K80" s="203"/>
    </row>
    <row r="195" spans="26:26" ht="14.4" customHeight="1" x14ac:dyDescent="0.3">
      <c r="Z195" s="9"/>
    </row>
    <row r="200" spans="26:26" ht="14.4" customHeight="1" x14ac:dyDescent="0.3">
      <c r="Z200" s="204"/>
    </row>
  </sheetData>
  <mergeCells count="61">
    <mergeCell ref="A79:B79"/>
    <mergeCell ref="C79:K79"/>
    <mergeCell ref="A80:B80"/>
    <mergeCell ref="C80:K80"/>
    <mergeCell ref="A76:B76"/>
    <mergeCell ref="C76:K76"/>
    <mergeCell ref="A77:B77"/>
    <mergeCell ref="C77:K77"/>
    <mergeCell ref="A78:B78"/>
    <mergeCell ref="C78:K78"/>
    <mergeCell ref="A73:B73"/>
    <mergeCell ref="C73:K73"/>
    <mergeCell ref="A74:B74"/>
    <mergeCell ref="C74:K74"/>
    <mergeCell ref="A75:B75"/>
    <mergeCell ref="C75:K75"/>
    <mergeCell ref="A70:B70"/>
    <mergeCell ref="C70:K70"/>
    <mergeCell ref="A71:B71"/>
    <mergeCell ref="C71:K71"/>
    <mergeCell ref="A72:B72"/>
    <mergeCell ref="C72:K72"/>
    <mergeCell ref="A62:B62"/>
    <mergeCell ref="C62:K62"/>
    <mergeCell ref="A63:B63"/>
    <mergeCell ref="C63:K63"/>
    <mergeCell ref="A64:B64"/>
    <mergeCell ref="C64:K64"/>
    <mergeCell ref="B24:F24"/>
    <mergeCell ref="A60:B60"/>
    <mergeCell ref="C60:K60"/>
    <mergeCell ref="A61:B61"/>
    <mergeCell ref="C61:K61"/>
    <mergeCell ref="A45:D46"/>
    <mergeCell ref="A58:B58"/>
    <mergeCell ref="C58:K58"/>
    <mergeCell ref="A59:B59"/>
    <mergeCell ref="C59:K59"/>
    <mergeCell ref="A17:K19"/>
    <mergeCell ref="I7:J8"/>
    <mergeCell ref="B21:F21"/>
    <mergeCell ref="B22:F22"/>
    <mergeCell ref="B23:F23"/>
    <mergeCell ref="A1:J3"/>
    <mergeCell ref="A7:B8"/>
    <mergeCell ref="A15:C16"/>
    <mergeCell ref="J12:K12"/>
    <mergeCell ref="J11:K11"/>
    <mergeCell ref="J10:K10"/>
    <mergeCell ref="J14:K14"/>
    <mergeCell ref="A4:K6"/>
    <mergeCell ref="A68:B68"/>
    <mergeCell ref="C68:K68"/>
    <mergeCell ref="A69:B69"/>
    <mergeCell ref="C69:K69"/>
    <mergeCell ref="C65:K65"/>
    <mergeCell ref="A66:B66"/>
    <mergeCell ref="C66:K66"/>
    <mergeCell ref="A67:B67"/>
    <mergeCell ref="C67:K67"/>
    <mergeCell ref="A65:B65"/>
  </mergeCells>
  <conditionalFormatting sqref="I21:I24">
    <cfRule type="cellIs" dxfId="12" priority="8" operator="lessThan">
      <formula>0</formula>
    </cfRule>
  </conditionalFormatting>
  <conditionalFormatting sqref="K21:K25">
    <cfRule type="cellIs" dxfId="11" priority="4" operator="lessThan">
      <formula>0</formula>
    </cfRule>
  </conditionalFormatting>
  <conditionalFormatting sqref="K13">
    <cfRule type="cellIs" dxfId="10" priority="3" operator="lessThan">
      <formula>0</formula>
    </cfRule>
  </conditionalFormatting>
  <conditionalFormatting sqref="J14:K14">
    <cfRule type="cellIs" dxfId="9" priority="2" operator="lessThan">
      <formula>0</formula>
    </cfRule>
  </conditionalFormatting>
  <pageMargins left="0.4" right="0.4" top="0.75" bottom="0.75" header="0.3" footer="0.3"/>
  <pageSetup orientation="portrait" r:id="rId1"/>
  <headerFooter>
    <oddHeader>&amp;L&amp;G&amp;R&amp;D
&amp;"-,Bold"Wealth Management Option Strategy</oddHead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00B4B-A0CD-4166-AA6F-66CDA68DC238}">
  <sheetPr codeName="Sheet14">
    <tabColor rgb="FFFFC000"/>
  </sheetPr>
  <dimension ref="A1:AL175"/>
  <sheetViews>
    <sheetView showGridLines="0" view="pageLayout" topLeftCell="A51" zoomScaleNormal="100" workbookViewId="0">
      <selection activeCell="AB25" sqref="AB25"/>
    </sheetView>
  </sheetViews>
  <sheetFormatPr defaultColWidth="2.6640625" defaultRowHeight="14.4" x14ac:dyDescent="0.3"/>
  <cols>
    <col min="1" max="1" width="2.44140625" style="214" customWidth="1"/>
    <col min="2" max="26" width="2.44140625" style="188" customWidth="1"/>
    <col min="27" max="31" width="2.44140625" customWidth="1"/>
    <col min="32" max="35" width="2.88671875" customWidth="1"/>
    <col min="36" max="38" width="2.77734375" customWidth="1"/>
  </cols>
  <sheetData>
    <row r="1" spans="1:38" ht="14.4" customHeight="1" x14ac:dyDescent="0.3">
      <c r="A1" s="169" t="str">
        <f>Dashboard!G6</f>
        <v>Iron Condor</v>
      </c>
      <c r="B1" s="169"/>
      <c r="C1" s="169"/>
      <c r="D1" s="169"/>
      <c r="E1" s="169"/>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row>
    <row r="2" spans="1:38" ht="14.4" customHeight="1" x14ac:dyDescent="0.3">
      <c r="A2" s="169"/>
      <c r="B2" s="169"/>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row>
    <row r="3" spans="1:38" ht="14.4" customHeight="1" x14ac:dyDescent="0.3">
      <c r="A3" s="169"/>
      <c r="B3" s="169"/>
      <c r="C3" s="169"/>
      <c r="D3" s="169"/>
      <c r="E3" s="169"/>
      <c r="F3" s="169"/>
      <c r="G3" s="169"/>
      <c r="H3" s="169"/>
      <c r="I3" s="169"/>
      <c r="J3" s="169"/>
      <c r="K3" s="169"/>
      <c r="L3" s="169"/>
      <c r="M3" s="169"/>
      <c r="N3" s="169"/>
      <c r="O3" s="169"/>
      <c r="P3" s="169"/>
      <c r="Q3" s="169"/>
      <c r="R3" s="169"/>
      <c r="S3" s="169"/>
      <c r="T3" s="169"/>
      <c r="U3" s="169"/>
      <c r="V3" s="169"/>
      <c r="W3" s="169"/>
      <c r="X3" s="169"/>
      <c r="Y3" s="169"/>
      <c r="Z3" s="169"/>
      <c r="AA3" s="169"/>
      <c r="AB3" s="169"/>
      <c r="AC3" s="169"/>
      <c r="AD3" s="169"/>
      <c r="AE3" s="169"/>
      <c r="AF3" s="169"/>
      <c r="AG3" s="169"/>
      <c r="AH3" s="169"/>
      <c r="AI3" s="169"/>
      <c r="AJ3" s="169"/>
      <c r="AK3" s="169"/>
      <c r="AL3" s="169"/>
    </row>
    <row r="4" spans="1:38" ht="14.4" customHeight="1" x14ac:dyDescent="0.3">
      <c r="A4" s="275" t="s">
        <v>208</v>
      </c>
      <c r="B4" s="275"/>
      <c r="C4" s="275"/>
      <c r="D4" s="275"/>
      <c r="E4" s="275"/>
      <c r="F4" s="275"/>
      <c r="G4" s="275"/>
      <c r="H4" s="275"/>
      <c r="I4" s="275"/>
      <c r="J4" s="275"/>
      <c r="K4" s="275"/>
      <c r="L4" s="275"/>
      <c r="M4" s="275"/>
      <c r="N4" s="275"/>
      <c r="O4" s="275"/>
      <c r="P4" s="275"/>
      <c r="Q4" s="275"/>
      <c r="R4" s="275"/>
      <c r="S4" s="275"/>
      <c r="T4" s="275"/>
      <c r="U4" s="275"/>
      <c r="V4" s="275"/>
      <c r="W4" s="275"/>
      <c r="X4" s="275"/>
      <c r="Y4" s="275"/>
      <c r="Z4" s="275"/>
      <c r="AA4" s="275"/>
      <c r="AB4" s="275"/>
      <c r="AC4" s="275"/>
      <c r="AD4" s="275"/>
      <c r="AE4" s="275"/>
      <c r="AF4" s="275"/>
      <c r="AG4" s="275"/>
      <c r="AH4" s="275"/>
      <c r="AI4" s="275"/>
      <c r="AJ4" s="275"/>
      <c r="AK4" s="275"/>
      <c r="AL4" s="275"/>
    </row>
    <row r="5" spans="1:38" ht="14.4" customHeight="1" x14ac:dyDescent="0.3">
      <c r="A5" s="275"/>
      <c r="B5" s="275"/>
      <c r="C5" s="275"/>
      <c r="D5" s="275"/>
      <c r="E5" s="275"/>
      <c r="F5" s="275"/>
      <c r="G5" s="275"/>
      <c r="H5" s="275"/>
      <c r="I5" s="275"/>
      <c r="J5" s="275"/>
      <c r="K5" s="275"/>
      <c r="L5" s="275"/>
      <c r="M5" s="275"/>
      <c r="N5" s="275"/>
      <c r="O5" s="275"/>
      <c r="P5" s="275"/>
      <c r="Q5" s="275"/>
      <c r="R5" s="275"/>
      <c r="S5" s="275"/>
      <c r="T5" s="275"/>
      <c r="U5" s="275"/>
      <c r="V5" s="275"/>
      <c r="W5" s="275"/>
      <c r="X5" s="275"/>
      <c r="Y5" s="275"/>
      <c r="Z5" s="275"/>
      <c r="AA5" s="275"/>
      <c r="AB5" s="275"/>
      <c r="AC5" s="275"/>
      <c r="AD5" s="275"/>
      <c r="AE5" s="275"/>
      <c r="AF5" s="275"/>
      <c r="AG5" s="275"/>
      <c r="AH5" s="275"/>
      <c r="AI5" s="275"/>
      <c r="AJ5" s="275"/>
      <c r="AK5" s="275"/>
      <c r="AL5" s="275"/>
    </row>
    <row r="6" spans="1:38" ht="14.4" customHeight="1" x14ac:dyDescent="0.3">
      <c r="A6" s="275"/>
      <c r="B6" s="275"/>
      <c r="C6" s="275"/>
      <c r="D6" s="275"/>
      <c r="E6" s="275"/>
      <c r="F6" s="275"/>
      <c r="G6" s="275"/>
      <c r="H6" s="275"/>
      <c r="I6" s="275"/>
      <c r="J6" s="275"/>
      <c r="K6" s="275"/>
      <c r="L6" s="275"/>
      <c r="M6" s="275"/>
      <c r="N6" s="275"/>
      <c r="O6" s="275"/>
      <c r="P6" s="275"/>
      <c r="Q6" s="275"/>
      <c r="R6" s="275"/>
      <c r="S6" s="275"/>
      <c r="T6" s="275"/>
      <c r="U6" s="275"/>
      <c r="V6" s="275"/>
      <c r="W6" s="275"/>
      <c r="X6" s="275"/>
      <c r="Y6" s="275"/>
      <c r="Z6" s="275"/>
      <c r="AA6" s="275"/>
      <c r="AB6" s="275"/>
      <c r="AC6" s="275"/>
      <c r="AD6" s="275"/>
      <c r="AE6" s="275"/>
      <c r="AF6" s="275"/>
      <c r="AG6" s="275"/>
      <c r="AH6" s="275"/>
      <c r="AI6" s="275"/>
      <c r="AJ6" s="275"/>
      <c r="AK6" s="275"/>
      <c r="AL6" s="275"/>
    </row>
    <row r="7" spans="1:38" ht="14.4" customHeight="1" x14ac:dyDescent="0.3">
      <c r="A7" s="170" t="s">
        <v>1331</v>
      </c>
      <c r="B7" s="170"/>
      <c r="C7" s="170"/>
      <c r="D7" s="170"/>
      <c r="E7" s="170"/>
      <c r="F7" s="170"/>
      <c r="G7" s="170"/>
      <c r="H7" s="170"/>
      <c r="I7" s="170"/>
      <c r="J7" s="170"/>
      <c r="K7" s="170"/>
      <c r="L7" s="170"/>
      <c r="M7" s="170"/>
      <c r="N7" s="170"/>
      <c r="AB7" s="219" t="s">
        <v>725</v>
      </c>
      <c r="AC7" s="219"/>
      <c r="AD7" s="219"/>
      <c r="AE7" s="219"/>
      <c r="AF7" s="219"/>
      <c r="AG7" s="219"/>
      <c r="AH7" s="219"/>
      <c r="AI7" s="219"/>
      <c r="AJ7" s="219"/>
      <c r="AK7" s="219"/>
      <c r="AL7" s="219"/>
    </row>
    <row r="8" spans="1:38" ht="14.4" customHeight="1" x14ac:dyDescent="0.3">
      <c r="A8" s="170"/>
      <c r="B8" s="170"/>
      <c r="C8" s="170"/>
      <c r="D8" s="170"/>
      <c r="E8" s="170"/>
      <c r="F8" s="170"/>
      <c r="G8" s="170"/>
      <c r="H8" s="170"/>
      <c r="I8" s="170"/>
      <c r="J8" s="170"/>
      <c r="K8" s="170"/>
      <c r="L8" s="170"/>
      <c r="M8" s="170"/>
      <c r="N8" s="170"/>
      <c r="AB8" s="219"/>
      <c r="AC8" s="219"/>
      <c r="AD8" s="219"/>
      <c r="AE8" s="219"/>
      <c r="AF8" s="219"/>
      <c r="AG8" s="219"/>
      <c r="AH8" s="219"/>
      <c r="AI8" s="219"/>
      <c r="AJ8" s="219"/>
      <c r="AK8" s="219"/>
      <c r="AL8" s="219"/>
    </row>
    <row r="9" spans="1:38" ht="14.4" customHeight="1" x14ac:dyDescent="0.3">
      <c r="A9" s="240" t="s">
        <v>86</v>
      </c>
      <c r="B9" s="241"/>
      <c r="C9" s="241"/>
      <c r="D9" s="241"/>
      <c r="E9" s="241"/>
      <c r="F9" s="241"/>
      <c r="G9" s="242" t="str">
        <f>BBG_Data!B2</f>
        <v>MSFT US Equity</v>
      </c>
      <c r="H9" s="242"/>
      <c r="I9" s="242"/>
      <c r="J9" s="242"/>
      <c r="K9" s="242"/>
      <c r="L9" s="242"/>
      <c r="M9" s="242"/>
      <c r="N9" s="241"/>
      <c r="O9" s="241"/>
      <c r="P9" s="243" t="s">
        <v>211</v>
      </c>
      <c r="Q9" s="241"/>
      <c r="R9" s="241"/>
      <c r="S9" s="241"/>
      <c r="T9" s="241"/>
      <c r="U9" s="244">
        <f>BBG_Data!B6</f>
        <v>479.28</v>
      </c>
      <c r="V9" s="244"/>
      <c r="W9" s="244"/>
      <c r="X9" s="244"/>
      <c r="Y9" s="215"/>
      <c r="Z9" s="235"/>
      <c r="AA9" s="9"/>
      <c r="AB9" s="240" t="s">
        <v>1332</v>
      </c>
      <c r="AC9" s="247"/>
      <c r="AD9" s="248"/>
      <c r="AE9" s="248"/>
      <c r="AF9" s="248"/>
      <c r="AG9" s="248"/>
      <c r="AH9" s="249">
        <f>IF(Stock_Pos&lt;&gt;"",Stock_Pos,"-")</f>
        <v>150</v>
      </c>
      <c r="AI9" s="249"/>
      <c r="AJ9" s="249"/>
      <c r="AK9" s="249"/>
      <c r="AL9" s="249"/>
    </row>
    <row r="10" spans="1:38" x14ac:dyDescent="0.3">
      <c r="A10" s="240" t="s">
        <v>144</v>
      </c>
      <c r="B10" s="241"/>
      <c r="C10" s="241"/>
      <c r="D10" s="241"/>
      <c r="E10" s="241"/>
      <c r="F10" s="241"/>
      <c r="G10" s="242" t="str">
        <f>BBG_Data!B3</f>
        <v>Microsoft Corp</v>
      </c>
      <c r="H10" s="242"/>
      <c r="I10" s="242"/>
      <c r="J10" s="242"/>
      <c r="K10" s="242"/>
      <c r="L10" s="242"/>
      <c r="M10" s="242"/>
      <c r="N10" s="241"/>
      <c r="O10" s="241"/>
      <c r="P10" s="243" t="s">
        <v>212</v>
      </c>
      <c r="Q10" s="241"/>
      <c r="R10" s="241"/>
      <c r="S10" s="241"/>
      <c r="T10" s="241"/>
      <c r="U10" s="244">
        <f>BBG_Data!B12</f>
        <v>555.45000000000005</v>
      </c>
      <c r="V10" s="244"/>
      <c r="W10" s="244"/>
      <c r="X10" s="244"/>
      <c r="Y10" s="216"/>
      <c r="Z10" s="236"/>
      <c r="AA10" s="9"/>
      <c r="AB10" s="240" t="s">
        <v>1333</v>
      </c>
      <c r="AC10" s="247"/>
      <c r="AD10" s="248"/>
      <c r="AE10" s="248"/>
      <c r="AF10" s="248"/>
      <c r="AG10" s="248"/>
      <c r="AH10" s="250">
        <f>IF(Stock_AvgCost&lt;&gt;"",Stock_AvgCost,"-")</f>
        <v>340</v>
      </c>
      <c r="AI10" s="250"/>
      <c r="AJ10" s="250"/>
      <c r="AK10" s="250"/>
      <c r="AL10" s="250"/>
    </row>
    <row r="11" spans="1:38" x14ac:dyDescent="0.3">
      <c r="A11" s="240" t="s">
        <v>210</v>
      </c>
      <c r="B11" s="241"/>
      <c r="C11" s="241"/>
      <c r="D11" s="241"/>
      <c r="E11" s="241"/>
      <c r="F11" s="241"/>
      <c r="G11" s="242" t="str">
        <f>BBG_Data!B4</f>
        <v>Information Technology</v>
      </c>
      <c r="H11" s="242"/>
      <c r="I11" s="242"/>
      <c r="J11" s="242"/>
      <c r="K11" s="242"/>
      <c r="L11" s="242"/>
      <c r="M11" s="242"/>
      <c r="N11" s="241"/>
      <c r="O11" s="241"/>
      <c r="P11" s="243" t="s">
        <v>213</v>
      </c>
      <c r="Q11" s="241"/>
      <c r="R11" s="241"/>
      <c r="S11" s="241"/>
      <c r="T11" s="241"/>
      <c r="U11" s="244">
        <f>BBG_Data!B13</f>
        <v>344.79</v>
      </c>
      <c r="V11" s="244"/>
      <c r="W11" s="244"/>
      <c r="X11" s="244"/>
      <c r="Y11" s="215"/>
      <c r="Z11" s="235"/>
      <c r="AA11" s="9"/>
      <c r="AB11" s="240" t="s">
        <v>1334</v>
      </c>
      <c r="AC11" s="247"/>
      <c r="AD11" s="248"/>
      <c r="AE11" s="248"/>
      <c r="AF11" s="248"/>
      <c r="AG11" s="248"/>
      <c r="AH11" s="250">
        <f>IF(Stock_Pos&lt;&gt;"",Stock_PnL,"-")</f>
        <v>20892</v>
      </c>
      <c r="AI11" s="250"/>
      <c r="AJ11" s="250"/>
      <c r="AK11" s="250"/>
      <c r="AL11" s="250"/>
    </row>
    <row r="12" spans="1:38" x14ac:dyDescent="0.3">
      <c r="A12" s="240" t="s">
        <v>219</v>
      </c>
      <c r="B12" s="241"/>
      <c r="C12" s="241"/>
      <c r="D12" s="241"/>
      <c r="E12" s="241"/>
      <c r="F12" s="241"/>
      <c r="G12" s="242" t="str">
        <f>BBG_Data!B20&amp; " (Tgt. Price $"&amp; BBG_Data!B21 &amp;")"</f>
        <v>buy (Tgt. Price $650)</v>
      </c>
      <c r="H12" s="242"/>
      <c r="I12" s="242"/>
      <c r="J12" s="242"/>
      <c r="K12" s="242"/>
      <c r="L12" s="242"/>
      <c r="M12" s="242"/>
      <c r="N12" s="241"/>
      <c r="O12" s="241"/>
      <c r="P12" s="243" t="s">
        <v>147</v>
      </c>
      <c r="Q12" s="241"/>
      <c r="R12" s="241"/>
      <c r="S12" s="241"/>
      <c r="T12" s="241"/>
      <c r="U12" s="245">
        <f>BBG_Div</f>
        <v>0.75947256403442143</v>
      </c>
      <c r="V12" s="245"/>
      <c r="W12" s="245"/>
      <c r="X12" s="245"/>
      <c r="Y12" s="215"/>
      <c r="Z12" s="235"/>
      <c r="AA12" s="9"/>
      <c r="AB12" s="248"/>
      <c r="AC12" s="248"/>
      <c r="AD12" s="248"/>
      <c r="AE12" s="248"/>
      <c r="AF12" s="248"/>
      <c r="AG12" s="248"/>
      <c r="AH12" s="248"/>
      <c r="AI12" s="248"/>
      <c r="AJ12" s="248"/>
      <c r="AK12" s="248"/>
      <c r="AL12" s="248"/>
    </row>
    <row r="13" spans="1:38" x14ac:dyDescent="0.3">
      <c r="A13" s="240" t="s">
        <v>221</v>
      </c>
      <c r="B13" s="241"/>
      <c r="C13" s="241"/>
      <c r="D13" s="241"/>
      <c r="E13" s="241"/>
      <c r="F13" s="241"/>
      <c r="G13" s="242"/>
      <c r="H13" s="242"/>
      <c r="I13" s="242"/>
      <c r="J13" s="242"/>
      <c r="K13" s="242"/>
      <c r="L13" s="242"/>
      <c r="M13" s="242"/>
      <c r="N13" s="241"/>
      <c r="O13" s="241"/>
      <c r="P13" s="243" t="s">
        <v>151</v>
      </c>
      <c r="Q13" s="241"/>
      <c r="R13" s="241"/>
      <c r="S13" s="241"/>
      <c r="T13" s="241"/>
      <c r="U13" s="246">
        <f>BBG_Data!B19</f>
        <v>46050</v>
      </c>
      <c r="V13" s="246"/>
      <c r="W13" s="246"/>
      <c r="X13" s="246"/>
      <c r="Y13" s="217"/>
      <c r="Z13" s="237"/>
      <c r="AA13" s="9"/>
      <c r="AB13" s="240" t="s">
        <v>1335</v>
      </c>
      <c r="AC13" s="247"/>
      <c r="AD13" s="248"/>
      <c r="AE13" s="248"/>
      <c r="AF13" s="248"/>
      <c r="AG13" s="248"/>
      <c r="AH13" s="250">
        <f>IF(Stock_Pos&lt;&gt;"",Stock_MktValue,"-")</f>
        <v>71892</v>
      </c>
      <c r="AI13" s="250"/>
      <c r="AJ13" s="250"/>
      <c r="AK13" s="250"/>
      <c r="AL13" s="250"/>
    </row>
    <row r="14" spans="1:38" ht="14.4" customHeight="1" x14ac:dyDescent="0.3">
      <c r="A14" s="170" t="s">
        <v>1336</v>
      </c>
      <c r="B14" s="170"/>
      <c r="C14" s="170"/>
      <c r="D14" s="170"/>
      <c r="E14" s="170"/>
      <c r="F14" s="170"/>
      <c r="G14" s="170"/>
      <c r="H14" s="170"/>
      <c r="I14" s="170"/>
      <c r="J14" s="170"/>
      <c r="K14" s="170"/>
      <c r="L14" s="170"/>
      <c r="M14" s="170"/>
      <c r="N14" s="170"/>
      <c r="O14" s="214"/>
      <c r="P14" s="214"/>
      <c r="Q14" s="214"/>
      <c r="R14" s="214"/>
      <c r="S14" s="214"/>
      <c r="T14" s="214"/>
      <c r="U14" s="214"/>
      <c r="V14" s="214"/>
      <c r="W14" s="214"/>
      <c r="X14" s="214"/>
      <c r="Y14" s="218"/>
      <c r="Z14" s="238"/>
      <c r="AA14" s="9"/>
      <c r="AB14" s="9"/>
      <c r="AC14" s="9"/>
      <c r="AD14" s="9"/>
      <c r="AE14" s="9"/>
      <c r="AF14" s="9"/>
      <c r="AG14" s="9"/>
      <c r="AH14" s="216"/>
      <c r="AI14" s="216"/>
      <c r="AJ14" s="9"/>
      <c r="AK14" s="9"/>
      <c r="AL14" s="9"/>
    </row>
    <row r="15" spans="1:38" ht="14.4" customHeight="1" x14ac:dyDescent="0.3">
      <c r="A15" s="170"/>
      <c r="B15" s="170"/>
      <c r="C15" s="170"/>
      <c r="D15" s="170"/>
      <c r="E15" s="170"/>
      <c r="F15" s="170"/>
      <c r="G15" s="170"/>
      <c r="H15" s="170"/>
      <c r="I15" s="170"/>
      <c r="J15" s="170"/>
      <c r="K15" s="170"/>
      <c r="L15" s="170"/>
      <c r="M15" s="170"/>
      <c r="N15" s="170"/>
      <c r="O15" s="214"/>
      <c r="P15" s="214"/>
      <c r="Q15" s="214"/>
      <c r="R15" s="214"/>
      <c r="S15" s="214"/>
      <c r="T15" s="214"/>
      <c r="U15" s="214"/>
      <c r="V15" s="214"/>
      <c r="W15" s="214"/>
      <c r="X15" s="214"/>
      <c r="Y15" s="214"/>
      <c r="Z15" s="214"/>
      <c r="AA15" s="9"/>
      <c r="AB15" s="9"/>
      <c r="AC15" s="9"/>
      <c r="AD15" s="9"/>
      <c r="AE15" s="9"/>
      <c r="AF15" s="9"/>
      <c r="AG15" s="9"/>
      <c r="AH15" s="9"/>
      <c r="AI15" s="9"/>
      <c r="AJ15" s="9"/>
      <c r="AK15" s="9"/>
      <c r="AL15" s="9"/>
    </row>
    <row r="16" spans="1:38" ht="14.4" customHeight="1" x14ac:dyDescent="0.3">
      <c r="A16" s="221" t="str">
        <f>VLOOKUP(Dashboard!D6,StrategyMap!A:U,21,FALSE)</f>
        <v>An iron condor consists of selling an out-of-the-money put spread and selling an out-of-the-money call spread. It profits if the stock price remains between the two short strikes (the inner range).</v>
      </c>
      <c r="B16" s="221"/>
      <c r="C16" s="221"/>
      <c r="D16" s="221"/>
      <c r="E16" s="221"/>
      <c r="F16" s="221"/>
      <c r="G16" s="221"/>
      <c r="H16" s="221"/>
      <c r="I16" s="221"/>
      <c r="J16" s="221"/>
      <c r="K16" s="221"/>
      <c r="L16" s="221"/>
      <c r="M16" s="221"/>
      <c r="N16" s="221"/>
      <c r="O16" s="221"/>
      <c r="P16" s="221"/>
      <c r="Q16" s="221"/>
      <c r="R16" s="221"/>
      <c r="S16" s="221"/>
      <c r="T16" s="221"/>
      <c r="U16" s="221"/>
      <c r="V16" s="221"/>
      <c r="W16" s="221"/>
      <c r="X16" s="221"/>
      <c r="Y16" s="221"/>
      <c r="Z16" s="221"/>
      <c r="AA16" s="221"/>
      <c r="AB16" s="221"/>
      <c r="AC16" s="221"/>
      <c r="AD16" s="221"/>
      <c r="AE16" s="221"/>
      <c r="AF16" s="221"/>
      <c r="AG16" s="221"/>
      <c r="AH16" s="221"/>
      <c r="AI16" s="221"/>
      <c r="AJ16" s="221"/>
      <c r="AK16" s="221"/>
      <c r="AL16" s="221"/>
    </row>
    <row r="17" spans="1:38" x14ac:dyDescent="0.3">
      <c r="A17" s="221"/>
      <c r="B17" s="221"/>
      <c r="C17" s="221"/>
      <c r="D17" s="221"/>
      <c r="E17" s="221"/>
      <c r="F17" s="221"/>
      <c r="G17" s="221"/>
      <c r="H17" s="221"/>
      <c r="I17" s="221"/>
      <c r="J17" s="221"/>
      <c r="K17" s="221"/>
      <c r="L17" s="221"/>
      <c r="M17" s="221"/>
      <c r="N17" s="221"/>
      <c r="O17" s="221"/>
      <c r="P17" s="221"/>
      <c r="Q17" s="221"/>
      <c r="R17" s="221"/>
      <c r="S17" s="221"/>
      <c r="T17" s="221"/>
      <c r="U17" s="221"/>
      <c r="V17" s="221"/>
      <c r="W17" s="221"/>
      <c r="X17" s="221"/>
      <c r="Y17" s="221"/>
      <c r="Z17" s="221"/>
      <c r="AA17" s="221"/>
      <c r="AB17" s="221"/>
      <c r="AC17" s="221"/>
      <c r="AD17" s="221"/>
      <c r="AE17" s="221"/>
      <c r="AF17" s="221"/>
      <c r="AG17" s="221"/>
      <c r="AH17" s="221"/>
      <c r="AI17" s="221"/>
      <c r="AJ17" s="221"/>
      <c r="AK17" s="221"/>
      <c r="AL17" s="221"/>
    </row>
    <row r="18" spans="1:38" x14ac:dyDescent="0.3">
      <c r="A18" s="265"/>
      <c r="B18" s="265"/>
      <c r="C18" s="265"/>
      <c r="D18" s="265"/>
      <c r="E18" s="265"/>
      <c r="F18" s="265"/>
      <c r="G18" s="265"/>
      <c r="H18" s="265"/>
      <c r="I18" s="265"/>
      <c r="J18" s="265"/>
      <c r="K18" s="265"/>
      <c r="L18" s="265"/>
      <c r="M18" s="265"/>
      <c r="N18" s="265"/>
      <c r="O18" s="265"/>
      <c r="P18" s="265"/>
      <c r="Q18" s="265"/>
      <c r="R18" s="265"/>
      <c r="S18" s="265"/>
      <c r="T18" s="265"/>
      <c r="U18" s="265"/>
      <c r="V18" s="265"/>
      <c r="W18" s="265"/>
      <c r="X18" s="265"/>
      <c r="Y18" s="265"/>
      <c r="Z18" s="265"/>
      <c r="AA18" s="265"/>
      <c r="AB18" s="265"/>
      <c r="AC18" s="265"/>
      <c r="AD18" s="265"/>
      <c r="AE18" s="265"/>
      <c r="AF18" s="265"/>
      <c r="AG18" s="265"/>
      <c r="AH18" s="265"/>
      <c r="AI18" s="265"/>
      <c r="AJ18" s="265"/>
      <c r="AK18" s="265"/>
      <c r="AL18" s="265"/>
    </row>
    <row r="19" spans="1:38" x14ac:dyDescent="0.3">
      <c r="A19" s="251" t="s">
        <v>120</v>
      </c>
      <c r="B19" s="251"/>
      <c r="C19" s="251"/>
      <c r="D19" s="251" t="s">
        <v>1337</v>
      </c>
      <c r="E19" s="251"/>
      <c r="F19" s="251"/>
      <c r="G19" s="251"/>
      <c r="H19" s="251"/>
      <c r="I19" s="251"/>
      <c r="J19" s="251" t="s">
        <v>734</v>
      </c>
      <c r="K19" s="251"/>
      <c r="L19" s="251"/>
      <c r="M19" s="251"/>
      <c r="N19" s="251"/>
      <c r="O19" s="251"/>
      <c r="P19" s="251" t="s">
        <v>16</v>
      </c>
      <c r="Q19" s="251"/>
      <c r="R19" s="251"/>
      <c r="S19" s="251"/>
      <c r="T19" s="251" t="s">
        <v>88</v>
      </c>
      <c r="U19" s="251"/>
      <c r="V19" s="251"/>
      <c r="W19" s="251"/>
      <c r="X19" s="266"/>
      <c r="Y19" s="254"/>
      <c r="Z19" s="254"/>
      <c r="AA19" s="234" t="s">
        <v>1384</v>
      </c>
      <c r="AB19" s="234"/>
      <c r="AC19" s="234"/>
      <c r="AD19" s="234"/>
      <c r="AE19" s="234"/>
      <c r="AF19" s="234"/>
      <c r="AG19" s="271" t="s">
        <v>1385</v>
      </c>
      <c r="AH19" s="271"/>
      <c r="AI19" s="271"/>
      <c r="AJ19" s="271"/>
      <c r="AK19" s="271"/>
      <c r="AL19" s="271"/>
    </row>
    <row r="20" spans="1:38" x14ac:dyDescent="0.3">
      <c r="A20" s="252" t="str">
        <f>IF(Leg1_Pos&lt;&gt;"","1)","")</f>
        <v>1)</v>
      </c>
      <c r="B20" s="252"/>
      <c r="C20" s="252"/>
      <c r="D20" s="252" t="str">
        <f>IF(Leg1_Pos&lt;&gt;"",HelperFields!H5&amp;HelperFields!I5&amp;HelperFields!J5,"")</f>
        <v>Buy 1 Put</v>
      </c>
      <c r="E20" s="252"/>
      <c r="F20" s="252"/>
      <c r="G20" s="252"/>
      <c r="H20" s="252"/>
      <c r="I20" s="252"/>
      <c r="J20" s="252" t="str">
        <f>IF(Leg1_Pos&lt;&gt;"",HelperFields!K5,"")</f>
        <v>March 20, 2026</v>
      </c>
      <c r="K20" s="252"/>
      <c r="L20" s="252"/>
      <c r="M20" s="252"/>
      <c r="N20" s="252"/>
      <c r="O20" s="252"/>
      <c r="P20" s="252" t="str">
        <f>IF(Leg1_Pos&lt;&gt;"",HelperFields!L5,"")</f>
        <v xml:space="preserve">   $400 </v>
      </c>
      <c r="Q20" s="252"/>
      <c r="R20" s="252"/>
      <c r="S20" s="252"/>
      <c r="T20" s="252" t="str">
        <f>IF(Leg1_Pos&lt;&gt;"",HelperFields!M5,"")</f>
        <v>$2.24</v>
      </c>
      <c r="U20" s="252"/>
      <c r="V20" s="252"/>
      <c r="W20" s="252"/>
      <c r="X20" s="241"/>
      <c r="Y20" s="255"/>
      <c r="Z20" s="255"/>
      <c r="AA20" s="234" t="s">
        <v>252</v>
      </c>
      <c r="AB20" s="234"/>
      <c r="AC20" s="234"/>
      <c r="AD20" s="234"/>
      <c r="AE20" s="234"/>
      <c r="AF20" s="234"/>
      <c r="AG20" s="271">
        <v>-3213</v>
      </c>
      <c r="AH20" s="270"/>
      <c r="AI20" s="270"/>
      <c r="AJ20" s="270"/>
      <c r="AK20" s="270"/>
      <c r="AL20" s="270"/>
    </row>
    <row r="21" spans="1:38" ht="14.4" customHeight="1" x14ac:dyDescent="0.3">
      <c r="A21" s="252" t="str">
        <f>IF(Leg2_Pos&lt;&gt;"","2)","")</f>
        <v>2)</v>
      </c>
      <c r="B21" s="252"/>
      <c r="C21" s="252"/>
      <c r="D21" s="252" t="str">
        <f>IF(Leg2_Pos&lt;&gt;"",HelperFields!H6&amp;HelperFields!I6&amp;HelperFields!J6,"")</f>
        <v>Sell 1 Put</v>
      </c>
      <c r="E21" s="252"/>
      <c r="F21" s="252"/>
      <c r="G21" s="252"/>
      <c r="H21" s="252"/>
      <c r="I21" s="252"/>
      <c r="J21" s="252" t="str">
        <f>IF(Leg2_Pos&lt;&gt;"",HelperFields!K6,"")</f>
        <v>March 20, 2026</v>
      </c>
      <c r="K21" s="252"/>
      <c r="L21" s="252"/>
      <c r="M21" s="252"/>
      <c r="N21" s="252"/>
      <c r="O21" s="252"/>
      <c r="P21" s="252" t="str">
        <f>IF(Leg2_Pos&lt;&gt;"",HelperFields!L6,HelperFields!$I$12)</f>
        <v xml:space="preserve">   $450 </v>
      </c>
      <c r="Q21" s="252"/>
      <c r="R21" s="252"/>
      <c r="S21" s="252"/>
      <c r="T21" s="252" t="str">
        <f>IF(Leg2_Pos&lt;&gt;"",HelperFields!M6,HelperFields!$I$11)</f>
        <v>$9.50</v>
      </c>
      <c r="U21" s="252"/>
      <c r="V21" s="252"/>
      <c r="W21" s="252"/>
      <c r="X21" s="253"/>
      <c r="Y21" s="255"/>
      <c r="Z21" s="255"/>
      <c r="AA21" s="234" t="s">
        <v>1380</v>
      </c>
      <c r="AB21" s="234"/>
      <c r="AC21" s="234"/>
      <c r="AD21" s="234"/>
      <c r="AE21" s="234"/>
      <c r="AF21" s="234"/>
      <c r="AG21" s="270" t="s">
        <v>1388</v>
      </c>
      <c r="AH21" s="270"/>
      <c r="AI21" s="270"/>
      <c r="AJ21" s="270"/>
      <c r="AK21" s="270"/>
      <c r="AL21" s="270"/>
    </row>
    <row r="22" spans="1:38" x14ac:dyDescent="0.3">
      <c r="A22" s="252" t="str">
        <f>IF(Leg3_Pos&lt;&gt;"","3)","")</f>
        <v>3)</v>
      </c>
      <c r="B22" s="252"/>
      <c r="C22" s="252"/>
      <c r="D22" s="252" t="str">
        <f>IF(Leg3_Pos&lt;&gt;"",HelperFields!H7&amp;HelperFields!I7&amp;HelperFields!J7,"")</f>
        <v>Sell 1 Call</v>
      </c>
      <c r="E22" s="252"/>
      <c r="F22" s="252"/>
      <c r="G22" s="252"/>
      <c r="H22" s="252"/>
      <c r="I22" s="252"/>
      <c r="J22" s="252" t="str">
        <f>IF(Leg3_Pos&lt;&gt;"",HelperFields!K7,"")</f>
        <v>March 20, 2026</v>
      </c>
      <c r="K22" s="252"/>
      <c r="L22" s="252"/>
      <c r="M22" s="252"/>
      <c r="N22" s="252"/>
      <c r="O22" s="252"/>
      <c r="P22" s="252" t="str">
        <f>IF(Leg3_Pos&lt;&gt;"", HelperFields!L8, IF(Leg2_Pos&lt;&gt;"", HelperFields!$I$12, ""))</f>
        <v xml:space="preserve">   $550 </v>
      </c>
      <c r="Q22" s="252"/>
      <c r="R22" s="252"/>
      <c r="S22" s="252"/>
      <c r="T22" s="252" t="str">
        <f>IF(Leg3_Pos&lt;&gt;"", HelperFields!M7, IF(Leg2_Pos&lt;&gt;"", HelperFields!$I$11, ""))</f>
        <v>$13.50</v>
      </c>
      <c r="U22" s="252"/>
      <c r="V22" s="252"/>
      <c r="W22" s="252"/>
      <c r="X22" s="241"/>
      <c r="Y22" s="255"/>
      <c r="Z22" s="255"/>
      <c r="AA22" s="269" t="s">
        <v>1386</v>
      </c>
      <c r="AB22" s="269"/>
      <c r="AC22" s="269"/>
      <c r="AD22" s="269"/>
      <c r="AE22" s="269"/>
      <c r="AF22" s="269"/>
      <c r="AG22" s="270"/>
      <c r="AH22" s="270"/>
      <c r="AI22" s="270"/>
      <c r="AJ22" s="270"/>
      <c r="AK22" s="270"/>
      <c r="AL22" s="270"/>
    </row>
    <row r="23" spans="1:38" x14ac:dyDescent="0.3">
      <c r="A23" s="252" t="str">
        <f>IF(Leg4_Pos&lt;&gt;"","4)","")</f>
        <v>4)</v>
      </c>
      <c r="B23" s="252"/>
      <c r="C23" s="252"/>
      <c r="D23" s="252" t="str">
        <f>IF(Leg3_Pos&lt;&gt;"",HelperFields!H8&amp;HelperFields!I8&amp;HelperFields!J8,"")</f>
        <v>Buy 1 Call</v>
      </c>
      <c r="E23" s="252"/>
      <c r="F23" s="252"/>
      <c r="G23" s="252"/>
      <c r="H23" s="252"/>
      <c r="I23" s="252"/>
      <c r="J23" s="252" t="str">
        <f>IF(Leg4_Pos&lt;&gt;"",HelperFields!K8,"")</f>
        <v>March 20, 2026</v>
      </c>
      <c r="K23" s="252"/>
      <c r="L23" s="252"/>
      <c r="M23" s="252"/>
      <c r="N23" s="252"/>
      <c r="O23" s="252"/>
      <c r="P23" s="252" t="str">
        <f>IF(Leg4_Pos&lt;&gt;"", HelperFields!L8, IF(Leg3_Pos&lt;&gt;"", HelperFields!$I$12, ""))</f>
        <v xml:space="preserve">   $550 </v>
      </c>
      <c r="Q23" s="252"/>
      <c r="R23" s="252"/>
      <c r="S23" s="252"/>
      <c r="T23" s="252" t="str">
        <f>IF(Leg4_Pos&lt;&gt;"", HelperFields!M8, IF(Leg3_Pos&lt;&gt;"", HelperFields!$I$11, ""))</f>
        <v>$2.89</v>
      </c>
      <c r="U23" s="252"/>
      <c r="V23" s="252"/>
      <c r="W23" s="252"/>
      <c r="X23" s="241"/>
      <c r="Y23" s="255"/>
      <c r="Z23" s="255"/>
      <c r="AA23" s="269">
        <v>361.42</v>
      </c>
      <c r="AB23" s="234"/>
      <c r="AC23" s="234"/>
      <c r="AD23" s="234"/>
      <c r="AE23" s="234"/>
      <c r="AF23" s="234"/>
      <c r="AG23" s="270"/>
      <c r="AH23" s="270"/>
      <c r="AI23" s="270"/>
      <c r="AJ23" s="270"/>
      <c r="AK23" s="270"/>
      <c r="AL23" s="270"/>
    </row>
    <row r="24" spans="1:38" x14ac:dyDescent="0.3">
      <c r="A24" s="241"/>
      <c r="B24" s="241"/>
      <c r="C24" s="241"/>
      <c r="D24" s="241"/>
      <c r="E24" s="241"/>
      <c r="F24" s="241"/>
      <c r="G24" s="241"/>
      <c r="H24" s="241"/>
      <c r="I24" s="241"/>
      <c r="J24" s="241"/>
      <c r="K24" s="241"/>
      <c r="L24" s="241"/>
      <c r="M24" s="241"/>
      <c r="N24" s="241"/>
      <c r="O24" s="241"/>
      <c r="P24" s="272" t="str">
        <f>IF(Leg4_Pos&lt;&gt;"", HelperFields!$I$12, "")</f>
        <v>Net Credit =</v>
      </c>
      <c r="Q24" s="272"/>
      <c r="R24" s="272"/>
      <c r="S24" s="272"/>
      <c r="T24" s="252" t="str">
        <f>IF(Leg4_Pos&lt;&gt;"", HelperFields!$I$11, "")</f>
        <v>$1,787.00</v>
      </c>
      <c r="U24" s="252"/>
      <c r="V24" s="252"/>
      <c r="W24" s="252"/>
      <c r="X24" s="241"/>
      <c r="Y24" s="255"/>
      <c r="Z24" s="255"/>
      <c r="AA24" s="234" t="s">
        <v>1381</v>
      </c>
      <c r="AB24" s="234"/>
      <c r="AC24" s="234"/>
      <c r="AD24" s="234"/>
      <c r="AE24" s="234"/>
      <c r="AF24" s="234"/>
      <c r="AG24" s="270"/>
      <c r="AH24" s="270"/>
      <c r="AI24" s="270"/>
      <c r="AJ24" s="270"/>
      <c r="AK24" s="270"/>
      <c r="AL24" s="270"/>
    </row>
    <row r="25" spans="1:38" x14ac:dyDescent="0.3">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194"/>
      <c r="AA25" s="220"/>
      <c r="AB25" s="220"/>
      <c r="AC25" s="220"/>
      <c r="AD25" s="220"/>
      <c r="AE25" s="220"/>
      <c r="AF25" s="220"/>
      <c r="AG25" s="220"/>
      <c r="AH25" s="220"/>
      <c r="AI25" s="220"/>
      <c r="AJ25" s="220"/>
      <c r="AK25" s="220"/>
      <c r="AL25" s="220"/>
    </row>
    <row r="26" spans="1:38" x14ac:dyDescent="0.3">
      <c r="B26" s="214"/>
      <c r="C26" s="214"/>
      <c r="D26" s="214"/>
      <c r="E26" s="214"/>
      <c r="F26" s="214"/>
      <c r="G26" s="214"/>
      <c r="H26" s="214"/>
      <c r="I26" s="214"/>
      <c r="J26" s="214"/>
      <c r="K26" s="214"/>
      <c r="L26" s="214"/>
      <c r="M26" s="214"/>
      <c r="N26" s="214"/>
      <c r="O26" s="214"/>
      <c r="P26" s="214"/>
      <c r="Q26" s="214"/>
      <c r="R26" s="214"/>
      <c r="S26" s="214"/>
      <c r="T26" s="214"/>
      <c r="U26" s="214"/>
      <c r="V26" s="214"/>
      <c r="W26" s="214"/>
      <c r="X26" s="214"/>
      <c r="Y26" s="214"/>
      <c r="Z26" s="194"/>
      <c r="AA26" s="220"/>
      <c r="AB26" s="220"/>
      <c r="AC26" s="220"/>
      <c r="AD26" s="220"/>
      <c r="AE26" s="220"/>
      <c r="AF26" s="220"/>
      <c r="AG26" s="220"/>
      <c r="AH26" s="220"/>
      <c r="AI26" s="220"/>
      <c r="AJ26" s="220"/>
      <c r="AK26" s="220"/>
      <c r="AL26" s="220"/>
    </row>
    <row r="27" spans="1:38" x14ac:dyDescent="0.3">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194"/>
      <c r="AA27" s="220"/>
      <c r="AB27" s="220"/>
      <c r="AC27" s="220"/>
      <c r="AD27" s="220"/>
      <c r="AE27" s="220"/>
      <c r="AF27" s="220"/>
      <c r="AG27" s="220"/>
      <c r="AH27" s="220"/>
      <c r="AI27" s="220"/>
      <c r="AJ27" s="220"/>
      <c r="AK27" s="220"/>
      <c r="AL27" s="220"/>
    </row>
    <row r="28" spans="1:38" x14ac:dyDescent="0.3">
      <c r="B28" s="214"/>
      <c r="C28" s="214"/>
      <c r="D28" s="214"/>
      <c r="E28" s="214"/>
      <c r="F28" s="214"/>
      <c r="G28" s="214"/>
      <c r="H28" s="214"/>
      <c r="I28" s="214"/>
      <c r="J28" s="214"/>
      <c r="K28" s="214"/>
      <c r="L28" s="214"/>
      <c r="M28" s="214"/>
      <c r="N28" s="214"/>
      <c r="O28" s="214"/>
      <c r="P28" s="214"/>
      <c r="Q28" s="214"/>
      <c r="R28" s="214"/>
      <c r="S28" s="214"/>
      <c r="T28" s="214"/>
      <c r="U28" s="214"/>
      <c r="V28" s="214"/>
      <c r="W28" s="214"/>
      <c r="X28" s="214"/>
      <c r="Y28" s="214"/>
      <c r="Z28" s="194"/>
      <c r="AA28" s="220"/>
      <c r="AB28" s="220"/>
      <c r="AC28" s="220"/>
      <c r="AD28" s="220"/>
      <c r="AE28" s="220"/>
      <c r="AF28" s="220"/>
      <c r="AG28" s="220"/>
      <c r="AH28" s="220"/>
      <c r="AI28" s="220"/>
      <c r="AJ28" s="220"/>
      <c r="AK28" s="220"/>
      <c r="AL28" s="220"/>
    </row>
    <row r="29" spans="1:38" x14ac:dyDescent="0.3">
      <c r="B29" s="214"/>
      <c r="C29" s="214"/>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9"/>
      <c r="AB29" s="9"/>
      <c r="AC29" s="9"/>
      <c r="AD29" s="9"/>
      <c r="AE29" s="9"/>
      <c r="AF29" s="9"/>
      <c r="AG29" s="9"/>
      <c r="AH29" s="9"/>
      <c r="AI29" s="9"/>
      <c r="AJ29" s="9"/>
      <c r="AK29" s="9"/>
      <c r="AL29" s="9"/>
    </row>
    <row r="30" spans="1:38" x14ac:dyDescent="0.3">
      <c r="B30" s="214"/>
      <c r="C30" s="214"/>
      <c r="D30" s="214"/>
      <c r="E30" s="214"/>
      <c r="F30" s="214"/>
      <c r="G30" s="214"/>
      <c r="H30" s="214"/>
      <c r="I30" s="214"/>
      <c r="J30" s="214"/>
      <c r="K30" s="214"/>
      <c r="L30" s="214"/>
      <c r="M30" s="214"/>
      <c r="N30" s="214"/>
      <c r="O30" s="214"/>
      <c r="P30" s="214"/>
      <c r="Q30" s="214"/>
      <c r="R30" s="214"/>
      <c r="S30" s="214"/>
      <c r="T30" s="214"/>
      <c r="U30" s="214"/>
      <c r="V30" s="214"/>
      <c r="W30" s="214"/>
      <c r="X30" s="214"/>
      <c r="Y30" s="214"/>
      <c r="Z30" s="214"/>
      <c r="AA30" s="9"/>
      <c r="AB30" s="9"/>
      <c r="AC30" s="9"/>
      <c r="AD30" s="9"/>
      <c r="AE30" s="9"/>
      <c r="AF30" s="9"/>
      <c r="AG30" s="9"/>
      <c r="AH30" s="9"/>
      <c r="AI30" s="9"/>
      <c r="AJ30" s="9"/>
      <c r="AK30" s="9"/>
      <c r="AL30" s="9"/>
    </row>
    <row r="31" spans="1:38" x14ac:dyDescent="0.3">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9"/>
      <c r="AB31" s="9"/>
      <c r="AC31" s="9"/>
      <c r="AD31" s="9"/>
      <c r="AE31" s="9"/>
      <c r="AF31" s="9"/>
      <c r="AG31" s="9"/>
      <c r="AH31" s="9"/>
      <c r="AI31" s="9"/>
      <c r="AJ31" s="9"/>
      <c r="AK31" s="9"/>
      <c r="AL31" s="9"/>
    </row>
    <row r="32" spans="1:38" x14ac:dyDescent="0.3">
      <c r="B32" s="214"/>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9"/>
      <c r="AB32" s="9"/>
      <c r="AC32" s="9"/>
      <c r="AD32" s="9"/>
      <c r="AE32" s="9"/>
      <c r="AF32" s="9"/>
      <c r="AG32" s="9"/>
      <c r="AH32" s="9"/>
      <c r="AI32" s="9"/>
      <c r="AJ32" s="9"/>
      <c r="AK32" s="9"/>
      <c r="AL32" s="9"/>
    </row>
    <row r="33" spans="1:38" x14ac:dyDescent="0.3">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9"/>
      <c r="AB33" s="9"/>
      <c r="AC33" s="9"/>
      <c r="AD33" s="9"/>
      <c r="AE33" s="9"/>
      <c r="AF33" s="9"/>
      <c r="AG33" s="9"/>
      <c r="AH33" s="9"/>
      <c r="AI33" s="9"/>
      <c r="AJ33" s="9"/>
      <c r="AK33" s="9"/>
      <c r="AL33" s="9"/>
    </row>
    <row r="34" spans="1:38" x14ac:dyDescent="0.3">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9"/>
      <c r="AB34" s="9"/>
      <c r="AC34" s="9"/>
      <c r="AD34" s="9"/>
      <c r="AE34" s="9"/>
      <c r="AF34" s="9"/>
      <c r="AG34" s="9"/>
      <c r="AH34" s="9"/>
      <c r="AI34" s="9"/>
      <c r="AJ34" s="9"/>
      <c r="AK34" s="9"/>
      <c r="AL34" s="9"/>
    </row>
    <row r="35" spans="1:38" x14ac:dyDescent="0.3">
      <c r="B35" s="214"/>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14"/>
      <c r="AA35" s="9"/>
      <c r="AB35" s="9"/>
      <c r="AC35" s="9"/>
      <c r="AD35" s="9"/>
      <c r="AE35" s="9"/>
      <c r="AF35" s="9"/>
      <c r="AG35" s="9"/>
      <c r="AH35" s="9"/>
      <c r="AI35" s="9"/>
      <c r="AJ35" s="9"/>
      <c r="AK35" s="9"/>
      <c r="AL35" s="9"/>
    </row>
    <row r="36" spans="1:38" x14ac:dyDescent="0.3">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9"/>
      <c r="AB36" s="9"/>
      <c r="AC36" s="9"/>
      <c r="AD36" s="9"/>
      <c r="AE36" s="9"/>
      <c r="AF36" s="9"/>
      <c r="AG36" s="9"/>
      <c r="AH36" s="9"/>
      <c r="AI36" s="9"/>
      <c r="AJ36" s="9"/>
      <c r="AK36" s="9"/>
      <c r="AL36" s="9"/>
    </row>
    <row r="37" spans="1:38" x14ac:dyDescent="0.3">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9"/>
      <c r="AB37" s="9"/>
      <c r="AC37" s="9"/>
      <c r="AD37" s="9"/>
      <c r="AE37" s="9"/>
      <c r="AF37" s="9"/>
      <c r="AG37" s="9"/>
      <c r="AH37" s="9"/>
      <c r="AI37" s="9"/>
      <c r="AJ37" s="9"/>
      <c r="AK37" s="9"/>
      <c r="AL37" s="9"/>
    </row>
    <row r="38" spans="1:38" x14ac:dyDescent="0.3">
      <c r="B38" s="214"/>
      <c r="C38" s="214"/>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9"/>
      <c r="AB38" s="9"/>
      <c r="AC38" s="9"/>
      <c r="AD38" s="9"/>
      <c r="AE38" s="9"/>
      <c r="AF38" s="9"/>
      <c r="AG38" s="9"/>
      <c r="AH38" s="9"/>
      <c r="AI38" s="9"/>
      <c r="AJ38" s="9"/>
      <c r="AK38" s="9"/>
      <c r="AL38" s="9"/>
    </row>
    <row r="39" spans="1:38" x14ac:dyDescent="0.3">
      <c r="B39" s="214"/>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9"/>
      <c r="AB39" s="9"/>
      <c r="AC39" s="9"/>
      <c r="AD39" s="9"/>
      <c r="AE39" s="9"/>
      <c r="AF39" s="9"/>
      <c r="AG39" s="9"/>
      <c r="AH39" s="9"/>
      <c r="AI39" s="9"/>
      <c r="AJ39" s="9"/>
      <c r="AK39" s="9"/>
      <c r="AL39" s="9"/>
    </row>
    <row r="40" spans="1:38" x14ac:dyDescent="0.3">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9"/>
      <c r="AB40" s="9"/>
      <c r="AC40" s="9"/>
      <c r="AD40" s="9"/>
      <c r="AE40" s="9"/>
      <c r="AF40" s="9"/>
      <c r="AG40" s="9"/>
      <c r="AH40" s="9"/>
      <c r="AI40" s="9"/>
      <c r="AJ40" s="9"/>
      <c r="AK40" s="9"/>
      <c r="AL40" s="9"/>
    </row>
    <row r="41" spans="1:38" x14ac:dyDescent="0.3">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9"/>
      <c r="AB41" s="9"/>
      <c r="AC41" s="9"/>
      <c r="AD41" s="9"/>
      <c r="AE41" s="9"/>
      <c r="AF41" s="9"/>
      <c r="AG41" s="9"/>
      <c r="AH41" s="9"/>
      <c r="AI41" s="9"/>
      <c r="AJ41" s="9"/>
      <c r="AK41" s="9"/>
      <c r="AL41" s="9"/>
    </row>
    <row r="42" spans="1:38" x14ac:dyDescent="0.3">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9"/>
      <c r="AB42" s="9"/>
      <c r="AC42" s="9"/>
      <c r="AD42" s="9"/>
      <c r="AE42" s="9"/>
      <c r="AF42" s="9"/>
      <c r="AG42" s="9"/>
      <c r="AH42" s="9"/>
      <c r="AI42" s="9"/>
      <c r="AJ42" s="9"/>
      <c r="AK42" s="9"/>
      <c r="AL42" s="9"/>
    </row>
    <row r="43" spans="1:38" x14ac:dyDescent="0.3">
      <c r="B43" s="214"/>
      <c r="C43" s="214"/>
      <c r="D43" s="214"/>
      <c r="E43" s="214"/>
      <c r="F43" s="214"/>
      <c r="G43" s="214"/>
      <c r="H43" s="214"/>
      <c r="I43" s="214"/>
      <c r="J43" s="214"/>
      <c r="K43" s="214"/>
      <c r="L43" s="214"/>
      <c r="M43" s="214"/>
      <c r="N43" s="214"/>
      <c r="O43" s="214"/>
      <c r="P43" s="214"/>
      <c r="Q43" s="214"/>
      <c r="R43" s="214"/>
      <c r="S43" s="214"/>
      <c r="T43" s="214"/>
      <c r="U43" s="214"/>
      <c r="V43" s="214"/>
      <c r="W43" s="214"/>
      <c r="X43" s="214"/>
      <c r="Y43" s="214"/>
      <c r="Z43" s="214"/>
      <c r="AA43" s="9"/>
      <c r="AB43" s="9"/>
      <c r="AC43" s="9"/>
      <c r="AD43" s="9"/>
      <c r="AE43" s="9"/>
      <c r="AF43" s="9"/>
      <c r="AG43" s="9"/>
      <c r="AH43" s="9"/>
      <c r="AI43" s="9"/>
      <c r="AJ43" s="9"/>
      <c r="AK43" s="9"/>
      <c r="AL43" s="9"/>
    </row>
    <row r="44" spans="1:38" x14ac:dyDescent="0.3">
      <c r="B44" s="214"/>
      <c r="C44" s="214"/>
      <c r="D44" s="214"/>
      <c r="E44" s="214"/>
      <c r="F44" s="214"/>
      <c r="G44" s="214"/>
      <c r="H44" s="214"/>
      <c r="I44" s="214"/>
      <c r="J44" s="214"/>
      <c r="K44" s="214"/>
      <c r="L44" s="214"/>
      <c r="M44" s="214"/>
      <c r="N44" s="214"/>
      <c r="O44" s="214"/>
      <c r="P44" s="214"/>
      <c r="Q44" s="214"/>
      <c r="R44" s="214"/>
      <c r="S44" s="214"/>
      <c r="T44" s="214"/>
      <c r="U44" s="214"/>
      <c r="V44" s="214"/>
      <c r="W44" s="214"/>
      <c r="X44" s="214"/>
      <c r="Y44" s="214"/>
      <c r="Z44" s="214"/>
      <c r="AA44" s="9"/>
      <c r="AB44" s="9"/>
      <c r="AC44" s="9"/>
      <c r="AD44" s="9"/>
      <c r="AE44" s="9"/>
      <c r="AF44" s="9"/>
      <c r="AG44" s="9"/>
      <c r="AH44" s="9"/>
      <c r="AI44" s="9"/>
      <c r="AJ44" s="9"/>
      <c r="AK44" s="9"/>
      <c r="AL44" s="9"/>
    </row>
    <row r="45" spans="1:38" ht="14.4" customHeight="1" x14ac:dyDescent="0.3">
      <c r="A45" s="219" t="s">
        <v>776</v>
      </c>
      <c r="B45" s="219"/>
      <c r="C45" s="219"/>
      <c r="D45" s="219"/>
      <c r="E45" s="219"/>
      <c r="F45" s="219"/>
      <c r="G45" s="219"/>
      <c r="H45" s="219"/>
      <c r="I45" s="219"/>
      <c r="J45" s="219"/>
      <c r="K45" s="219"/>
      <c r="L45" s="219"/>
      <c r="M45" s="219"/>
      <c r="N45" s="214"/>
      <c r="O45" s="214"/>
      <c r="P45" s="214"/>
      <c r="Q45" s="214"/>
      <c r="R45" s="214"/>
      <c r="S45" s="214"/>
      <c r="T45" s="214"/>
      <c r="U45" s="214"/>
      <c r="V45" s="214"/>
      <c r="W45" s="214"/>
      <c r="X45" s="214"/>
      <c r="Y45" s="214"/>
      <c r="Z45" s="214"/>
      <c r="AA45" s="9"/>
      <c r="AB45" s="9"/>
      <c r="AC45" s="9"/>
      <c r="AD45" s="9"/>
      <c r="AE45" s="9"/>
      <c r="AF45" s="9"/>
      <c r="AG45" s="9"/>
      <c r="AH45" s="9"/>
      <c r="AI45" s="9"/>
      <c r="AJ45" s="9"/>
      <c r="AK45" s="9"/>
      <c r="AL45" s="9"/>
    </row>
    <row r="46" spans="1:38" ht="14.4" customHeight="1" x14ac:dyDescent="0.3">
      <c r="A46" s="219"/>
      <c r="B46" s="219"/>
      <c r="C46" s="219"/>
      <c r="D46" s="219"/>
      <c r="E46" s="219"/>
      <c r="F46" s="219"/>
      <c r="G46" s="219"/>
      <c r="H46" s="219"/>
      <c r="I46" s="219"/>
      <c r="J46" s="219"/>
      <c r="K46" s="219"/>
      <c r="L46" s="219"/>
      <c r="M46" s="219"/>
      <c r="N46" s="214"/>
      <c r="O46" s="214"/>
      <c r="P46" s="214"/>
      <c r="Q46" s="214"/>
      <c r="R46" s="214"/>
      <c r="S46" s="214"/>
      <c r="T46" s="214"/>
      <c r="U46" s="214"/>
      <c r="V46" s="214"/>
      <c r="W46" s="214"/>
      <c r="X46" s="214"/>
      <c r="Y46" s="214"/>
      <c r="Z46" s="214"/>
      <c r="AA46" s="9"/>
      <c r="AB46" s="9"/>
      <c r="AC46" s="9"/>
      <c r="AD46" s="9"/>
      <c r="AE46" s="9"/>
      <c r="AF46" s="9"/>
      <c r="AG46" s="9"/>
      <c r="AH46" s="9"/>
      <c r="AI46" s="9"/>
      <c r="AJ46" s="9"/>
      <c r="AK46" s="9"/>
      <c r="AL46" s="9"/>
    </row>
    <row r="47" spans="1:38" x14ac:dyDescent="0.3">
      <c r="A47" s="276" t="s">
        <v>195</v>
      </c>
      <c r="B47" s="276"/>
      <c r="C47" s="276"/>
      <c r="D47" s="276"/>
      <c r="E47" s="276"/>
      <c r="F47" s="276"/>
      <c r="G47" s="276"/>
      <c r="H47" s="276"/>
      <c r="I47" s="263" t="s">
        <v>226</v>
      </c>
      <c r="J47" s="263"/>
      <c r="K47" s="263"/>
      <c r="L47" s="263" t="s">
        <v>463</v>
      </c>
      <c r="M47" s="263"/>
      <c r="N47" s="263"/>
      <c r="O47" s="263"/>
      <c r="P47" s="263" t="s">
        <v>132</v>
      </c>
      <c r="Q47" s="263"/>
      <c r="R47" s="263"/>
      <c r="S47" s="263"/>
      <c r="T47" s="263"/>
      <c r="U47" s="263" t="s">
        <v>133</v>
      </c>
      <c r="V47" s="263"/>
      <c r="W47" s="263"/>
      <c r="X47" s="263"/>
      <c r="Y47" s="263"/>
      <c r="Z47" s="263" t="s">
        <v>1365</v>
      </c>
      <c r="AA47" s="263"/>
      <c r="AB47" s="263"/>
      <c r="AC47" s="263"/>
      <c r="AD47" s="263" t="s">
        <v>253</v>
      </c>
      <c r="AE47" s="263"/>
      <c r="AF47" s="263"/>
      <c r="AG47" s="263"/>
      <c r="AH47" s="263"/>
      <c r="AI47" s="263" t="s">
        <v>1365</v>
      </c>
      <c r="AJ47" s="263"/>
      <c r="AK47" s="263"/>
      <c r="AL47" s="263"/>
    </row>
    <row r="48" spans="1:38" x14ac:dyDescent="0.3">
      <c r="A48" s="256" t="str">
        <f>IF(Dashboard!U19&lt;&gt;"",Dashboard!U19,"")</f>
        <v>Stock to Zero</v>
      </c>
      <c r="B48" s="256"/>
      <c r="C48" s="256"/>
      <c r="D48" s="256"/>
      <c r="E48" s="256"/>
      <c r="F48" s="256"/>
      <c r="G48" s="256"/>
      <c r="H48" s="256"/>
      <c r="I48" s="257" cm="1">
        <f t="array" ref="I48">_xlfn.XLOOKUP($A48, Dashboard!$U$19:$U$50, _xlfn.XLOOKUP(I$47, Dashboard!$U$18:$AB$18, Dashboard!$U$19:$AB$50, ""), "")</f>
        <v>-1</v>
      </c>
      <c r="J48" s="257"/>
      <c r="K48" s="257"/>
      <c r="L48" s="258" cm="1">
        <f t="array" ref="L48">_xlfn.XLOOKUP($A48, Dashboard!$U$19:$U$50, _xlfn.XLOOKUP("Price", Dashboard!$U$18:$AB$18, Dashboard!$U$19:$AB$50, ""), "")</f>
        <v>0</v>
      </c>
      <c r="M48" s="258"/>
      <c r="N48" s="258"/>
      <c r="O48" s="258"/>
      <c r="P48" s="259" cm="1">
        <f t="array" ref="P48">_xlfn.XLOOKUP($A48, Dashboard!$U$19:$U$50, _xlfn.XLOOKUP(P$47, Dashboard!$U$18:$AB$18, Dashboard!$U$19:$AB$50, ""), "")</f>
        <v>-51000</v>
      </c>
      <c r="Q48" s="259"/>
      <c r="R48" s="259"/>
      <c r="S48" s="259"/>
      <c r="T48" s="259"/>
      <c r="U48" s="259" cm="1">
        <f t="array" ref="U48">_xlfn.XLOOKUP($A48, Dashboard!$U$19:$U$50, _xlfn.XLOOKUP(U$47, Dashboard!$U$18:$AB$18, Dashboard!$U$19:$AB$50, ""), "")</f>
        <v>-3213</v>
      </c>
      <c r="V48" s="259"/>
      <c r="W48" s="259"/>
      <c r="X48" s="259"/>
      <c r="Y48" s="259"/>
      <c r="Z48" s="260" cm="1">
        <f t="array" ref="Z48">_xlfn.XLOOKUP($A48, Dashboard!$U$19:$U$50, _xlfn.XLOOKUP("Option ROI", Dashboard!$U$18:$AB$18, Dashboard!$U$19:$AB$50, ""), "")</f>
        <v>-1</v>
      </c>
      <c r="AA48" s="260"/>
      <c r="AB48" s="260"/>
      <c r="AC48" s="260"/>
      <c r="AD48" s="261" cm="1">
        <f t="array" ref="AD48">_xlfn.XLOOKUP($A48, Dashboard!$U$19:$U$50, _xlfn.XLOOKUP(AD$47, Dashboard!$U$18:$AB$18, Dashboard!$U$19:$AB$50, ""), "")</f>
        <v>-54213</v>
      </c>
      <c r="AE48" s="261"/>
      <c r="AF48" s="261"/>
      <c r="AG48" s="261"/>
      <c r="AH48" s="261"/>
      <c r="AI48" s="260" cm="1">
        <f t="array" ref="AI48">_xlfn.XLOOKUP($A48, Dashboard!$U$19:$U$50, _xlfn.XLOOKUP("Net ROI", Dashboard!$U$18:$AB$18, Dashboard!$U$19:$AB$50, ""), "")</f>
        <v>-1</v>
      </c>
      <c r="AJ48" s="260"/>
      <c r="AK48" s="260"/>
      <c r="AL48" s="260"/>
    </row>
    <row r="49" spans="1:38" x14ac:dyDescent="0.3">
      <c r="A49" s="256" t="str">
        <f>IF(Dashboard!U20&lt;&gt;"",Dashboard!U20,"")</f>
        <v>Stock Cost Basis</v>
      </c>
      <c r="B49" s="256"/>
      <c r="C49" s="256"/>
      <c r="D49" s="256"/>
      <c r="E49" s="256"/>
      <c r="F49" s="256"/>
      <c r="G49" s="256"/>
      <c r="H49" s="256"/>
      <c r="I49" s="262" cm="1">
        <f t="array" ref="I49">_xlfn.XLOOKUP($A49, Dashboard!$U$19:$U$50, _xlfn.XLOOKUP(I$47, Dashboard!$U$18:$AB$18, Dashboard!$U$19:$AB$50, ""), "")</f>
        <v>-0.29060257052245031</v>
      </c>
      <c r="J49" s="262"/>
      <c r="K49" s="262"/>
      <c r="L49" s="258" cm="1">
        <f t="array" ref="L49">_xlfn.XLOOKUP($A49, Dashboard!$U$19:$U$50, _xlfn.XLOOKUP("Price", Dashboard!$U$18:$AB$18, Dashboard!$U$19:$AB$50, ""), "")</f>
        <v>340</v>
      </c>
      <c r="M49" s="258"/>
      <c r="N49" s="258"/>
      <c r="O49" s="258"/>
      <c r="P49" s="259" cm="1">
        <f t="array" ref="P49">_xlfn.XLOOKUP($A49, Dashboard!$U$19:$U$50, _xlfn.XLOOKUP(P$47, Dashboard!$U$18:$AB$18, Dashboard!$U$19:$AB$50, ""), "")</f>
        <v>0</v>
      </c>
      <c r="Q49" s="259"/>
      <c r="R49" s="259"/>
      <c r="S49" s="259"/>
      <c r="T49" s="259"/>
      <c r="U49" s="259" cm="1">
        <f t="array" ref="U49">_xlfn.XLOOKUP($A49, Dashboard!$U$19:$U$50, _xlfn.XLOOKUP(U$47, Dashboard!$U$18:$AB$18, Dashboard!$U$19:$AB$50, ""), "")</f>
        <v>-3213</v>
      </c>
      <c r="V49" s="259"/>
      <c r="W49" s="259"/>
      <c r="X49" s="259"/>
      <c r="Y49" s="259"/>
      <c r="Z49" s="260" cm="1">
        <f t="array" ref="Z49">_xlfn.XLOOKUP($A49, Dashboard!$U$19:$U$50, _xlfn.XLOOKUP("Option ROI", Dashboard!$U$18:$AB$18, Dashboard!$U$19:$AB$50, ""), "")</f>
        <v>-1</v>
      </c>
      <c r="AA49" s="260"/>
      <c r="AB49" s="260"/>
      <c r="AC49" s="260"/>
      <c r="AD49" s="261" cm="1">
        <f t="array" ref="AD49">_xlfn.XLOOKUP($A49, Dashboard!$U$19:$U$50, _xlfn.XLOOKUP(AD$47, Dashboard!$U$18:$AB$18, Dashboard!$U$19:$AB$50, ""), "")</f>
        <v>-3213</v>
      </c>
      <c r="AE49" s="261"/>
      <c r="AF49" s="261"/>
      <c r="AG49" s="261"/>
      <c r="AH49" s="261"/>
      <c r="AI49" s="260" cm="1">
        <f t="array" ref="AI49">_xlfn.XLOOKUP($A49, Dashboard!$U$19:$U$50, _xlfn.XLOOKUP("Net ROI", Dashboard!$U$18:$AB$18, Dashboard!$U$19:$AB$50, ""), "")</f>
        <v>-5.9266227657572904E-2</v>
      </c>
      <c r="AJ49" s="260"/>
      <c r="AK49" s="260"/>
      <c r="AL49" s="260"/>
    </row>
    <row r="50" spans="1:38" x14ac:dyDescent="0.3">
      <c r="A50" s="256" t="str">
        <f>IF(Dashboard!U21&lt;&gt;"",Dashboard!U21,"")</f>
        <v>Combined Breakeven 1</v>
      </c>
      <c r="B50" s="256"/>
      <c r="C50" s="256"/>
      <c r="D50" s="256"/>
      <c r="E50" s="256"/>
      <c r="F50" s="256"/>
      <c r="G50" s="256"/>
      <c r="H50" s="256"/>
      <c r="I50" s="262" cm="1">
        <f t="array" ref="I50">_xlfn.XLOOKUP($A50, Dashboard!$U$19:$U$50, _xlfn.XLOOKUP(I$47, Dashboard!$U$18:$AB$18, Dashboard!$U$19:$AB$50, ""), "")</f>
        <v>-0.24591053246536465</v>
      </c>
      <c r="J50" s="262"/>
      <c r="K50" s="262"/>
      <c r="L50" s="258" cm="1">
        <f t="array" ref="L50">_xlfn.XLOOKUP($A50, Dashboard!$U$19:$U$50, _xlfn.XLOOKUP("Price", Dashboard!$U$18:$AB$18, Dashboard!$U$19:$AB$50, ""), "")</f>
        <v>361.42</v>
      </c>
      <c r="M50" s="258"/>
      <c r="N50" s="258"/>
      <c r="O50" s="258"/>
      <c r="P50" s="259" cm="1">
        <f t="array" ref="P50">_xlfn.XLOOKUP($A50, Dashboard!$U$19:$U$50, _xlfn.XLOOKUP(P$47, Dashboard!$U$18:$AB$18, Dashboard!$U$19:$AB$50, ""), "")</f>
        <v>3213.0000000000023</v>
      </c>
      <c r="Q50" s="259"/>
      <c r="R50" s="259"/>
      <c r="S50" s="259"/>
      <c r="T50" s="259"/>
      <c r="U50" s="259" cm="1">
        <f t="array" ref="U50">_xlfn.XLOOKUP($A50, Dashboard!$U$19:$U$50, _xlfn.XLOOKUP(U$47, Dashboard!$U$18:$AB$18, Dashboard!$U$19:$AB$50, ""), "")</f>
        <v>-3213</v>
      </c>
      <c r="V50" s="259"/>
      <c r="W50" s="259"/>
      <c r="X50" s="259"/>
      <c r="Y50" s="259"/>
      <c r="Z50" s="260" cm="1">
        <f t="array" ref="Z50">_xlfn.XLOOKUP($A50, Dashboard!$U$19:$U$50, _xlfn.XLOOKUP("Option ROI", Dashboard!$U$18:$AB$18, Dashboard!$U$19:$AB$50, ""), "")</f>
        <v>-1</v>
      </c>
      <c r="AA50" s="260"/>
      <c r="AB50" s="260"/>
      <c r="AC50" s="260"/>
      <c r="AD50" s="261" cm="1">
        <f t="array" ref="AD50">_xlfn.XLOOKUP($A50, Dashboard!$U$19:$U$50, _xlfn.XLOOKUP(AD$47, Dashboard!$U$18:$AB$18, Dashboard!$U$19:$AB$50, ""), "")</f>
        <v>2.2737367544323206E-12</v>
      </c>
      <c r="AE50" s="261"/>
      <c r="AF50" s="261"/>
      <c r="AG50" s="261"/>
      <c r="AH50" s="261"/>
      <c r="AI50" s="260" cm="1">
        <f t="array" ref="AI50">_xlfn.XLOOKUP($A50, Dashboard!$U$19:$U$50, _xlfn.XLOOKUP("Net ROI", Dashboard!$U$18:$AB$18, Dashboard!$U$19:$AB$50, ""), "")</f>
        <v>4.1940803025700858E-17</v>
      </c>
      <c r="AJ50" s="260"/>
      <c r="AK50" s="260"/>
      <c r="AL50" s="260"/>
    </row>
    <row r="51" spans="1:38" x14ac:dyDescent="0.3">
      <c r="A51" s="256" t="str">
        <f>IF(Dashboard!U22&lt;&gt;"",Dashboard!U22,"")</f>
        <v>Strike Level 1</v>
      </c>
      <c r="B51" s="256"/>
      <c r="C51" s="256"/>
      <c r="D51" s="256"/>
      <c r="E51" s="256"/>
      <c r="F51" s="256"/>
      <c r="G51" s="256"/>
      <c r="H51" s="256"/>
      <c r="I51" s="262" cm="1">
        <f t="array" ref="I51">_xlfn.XLOOKUP($A51, Dashboard!$U$19:$U$50, _xlfn.XLOOKUP(I$47, Dashboard!$U$18:$AB$18, Dashboard!$U$19:$AB$50, ""), "")</f>
        <v>-0.16541478884994154</v>
      </c>
      <c r="J51" s="262"/>
      <c r="K51" s="262"/>
      <c r="L51" s="258" cm="1">
        <f t="array" ref="L51">_xlfn.XLOOKUP($A51, Dashboard!$U$19:$U$50, _xlfn.XLOOKUP("Price", Dashboard!$U$18:$AB$18, Dashboard!$U$19:$AB$50, ""), "")</f>
        <v>400</v>
      </c>
      <c r="M51" s="258"/>
      <c r="N51" s="258"/>
      <c r="O51" s="258"/>
      <c r="P51" s="259" cm="1">
        <f t="array" ref="P51">_xlfn.XLOOKUP($A51, Dashboard!$U$19:$U$50, _xlfn.XLOOKUP(P$47, Dashboard!$U$18:$AB$18, Dashboard!$U$19:$AB$50, ""), "")</f>
        <v>9000</v>
      </c>
      <c r="Q51" s="259"/>
      <c r="R51" s="259"/>
      <c r="S51" s="259"/>
      <c r="T51" s="259"/>
      <c r="U51" s="259" cm="1">
        <f t="array" ref="U51">_xlfn.XLOOKUP($A51, Dashboard!$U$19:$U$50, _xlfn.XLOOKUP(U$47, Dashboard!$U$18:$AB$18, Dashboard!$U$19:$AB$50, ""), "")</f>
        <v>-3213</v>
      </c>
      <c r="V51" s="259"/>
      <c r="W51" s="259"/>
      <c r="X51" s="259"/>
      <c r="Y51" s="259"/>
      <c r="Z51" s="260" cm="1">
        <f t="array" ref="Z51">_xlfn.XLOOKUP($A51, Dashboard!$U$19:$U$50, _xlfn.XLOOKUP("Option ROI", Dashboard!$U$18:$AB$18, Dashboard!$U$19:$AB$50, ""), "")</f>
        <v>-1</v>
      </c>
      <c r="AA51" s="260"/>
      <c r="AB51" s="260"/>
      <c r="AC51" s="260"/>
      <c r="AD51" s="261" cm="1">
        <f t="array" ref="AD51">_xlfn.XLOOKUP($A51, Dashboard!$U$19:$U$50, _xlfn.XLOOKUP(AD$47, Dashboard!$U$18:$AB$18, Dashboard!$U$19:$AB$50, ""), "")</f>
        <v>5787</v>
      </c>
      <c r="AE51" s="261"/>
      <c r="AF51" s="261"/>
      <c r="AG51" s="261"/>
      <c r="AH51" s="261"/>
      <c r="AI51" s="260" cm="1">
        <f t="array" ref="AI51">_xlfn.XLOOKUP($A51, Dashboard!$U$19:$U$50, _xlfn.XLOOKUP("Net ROI", Dashboard!$U$18:$AB$18, Dashboard!$U$19:$AB$50, ""), "")</f>
        <v>0.10674561452050246</v>
      </c>
      <c r="AJ51" s="260"/>
      <c r="AK51" s="260"/>
      <c r="AL51" s="260"/>
    </row>
    <row r="52" spans="1:38" x14ac:dyDescent="0.3">
      <c r="A52" s="256" t="str">
        <f>IF(Dashboard!U23&lt;&gt;"",Dashboard!U23,"")</f>
        <v>Strike Level 2</v>
      </c>
      <c r="B52" s="256"/>
      <c r="C52" s="256"/>
      <c r="D52" s="256"/>
      <c r="E52" s="256"/>
      <c r="F52" s="256"/>
      <c r="G52" s="256"/>
      <c r="H52" s="256"/>
      <c r="I52" s="262" cm="1">
        <f t="array" ref="I52">_xlfn.XLOOKUP($A52, Dashboard!$U$19:$U$50, _xlfn.XLOOKUP(I$47, Dashboard!$U$18:$AB$18, Dashboard!$U$19:$AB$50, ""), "")</f>
        <v>-6.109163745618422E-2</v>
      </c>
      <c r="J52" s="262"/>
      <c r="K52" s="262"/>
      <c r="L52" s="258" cm="1">
        <f t="array" ref="L52">_xlfn.XLOOKUP($A52, Dashboard!$U$19:$U$50, _xlfn.XLOOKUP("Price", Dashboard!$U$18:$AB$18, Dashboard!$U$19:$AB$50, ""), "")</f>
        <v>450</v>
      </c>
      <c r="M52" s="258"/>
      <c r="N52" s="258"/>
      <c r="O52" s="258"/>
      <c r="P52" s="259" cm="1">
        <f t="array" ref="P52">_xlfn.XLOOKUP($A52, Dashboard!$U$19:$U$50, _xlfn.XLOOKUP(P$47, Dashboard!$U$18:$AB$18, Dashboard!$U$19:$AB$50, ""), "")</f>
        <v>16500</v>
      </c>
      <c r="Q52" s="259"/>
      <c r="R52" s="259"/>
      <c r="S52" s="259"/>
      <c r="T52" s="259"/>
      <c r="U52" s="259" cm="1">
        <f t="array" ref="U52">_xlfn.XLOOKUP($A52, Dashboard!$U$19:$U$50, _xlfn.XLOOKUP(U$47, Dashboard!$U$18:$AB$18, Dashboard!$U$19:$AB$50, ""), "")</f>
        <v>1787</v>
      </c>
      <c r="V52" s="259"/>
      <c r="W52" s="259"/>
      <c r="X52" s="259"/>
      <c r="Y52" s="259"/>
      <c r="Z52" s="260" cm="1">
        <f t="array" ref="Z52">_xlfn.XLOOKUP($A52, Dashboard!$U$19:$U$50, _xlfn.XLOOKUP("Option ROI", Dashboard!$U$18:$AB$18, Dashboard!$U$19:$AB$50, ""), "")</f>
        <v>0.55617802676626205</v>
      </c>
      <c r="AA52" s="260"/>
      <c r="AB52" s="260"/>
      <c r="AC52" s="260"/>
      <c r="AD52" s="261" cm="1">
        <f t="array" ref="AD52">_xlfn.XLOOKUP($A52, Dashboard!$U$19:$U$50, _xlfn.XLOOKUP(AD$47, Dashboard!$U$18:$AB$18, Dashboard!$U$19:$AB$50, ""), "")</f>
        <v>18287</v>
      </c>
      <c r="AE52" s="261"/>
      <c r="AF52" s="261"/>
      <c r="AG52" s="261"/>
      <c r="AH52" s="261"/>
      <c r="AI52" s="260" cm="1">
        <f t="array" ref="AI52">_xlfn.XLOOKUP($A52, Dashboard!$U$19:$U$50, _xlfn.XLOOKUP("Net ROI", Dashboard!$U$18:$AB$18, Dashboard!$U$19:$AB$50, ""), "")</f>
        <v>0.33731761754560713</v>
      </c>
      <c r="AJ52" s="260"/>
      <c r="AK52" s="260"/>
      <c r="AL52" s="260"/>
    </row>
    <row r="53" spans="1:38" x14ac:dyDescent="0.3">
      <c r="A53" s="256" t="str">
        <f>IF(Dashboard!U24&lt;&gt;"",Dashboard!U24,"")</f>
        <v>Current Market Price</v>
      </c>
      <c r="B53" s="256"/>
      <c r="C53" s="256"/>
      <c r="D53" s="256"/>
      <c r="E53" s="256"/>
      <c r="F53" s="256"/>
      <c r="G53" s="256"/>
      <c r="H53" s="256"/>
      <c r="I53" s="262" cm="1">
        <f t="array" ref="I53">_xlfn.XLOOKUP($A53, Dashboard!$U$19:$U$50, _xlfn.XLOOKUP(I$47, Dashboard!$U$18:$AB$18, Dashboard!$U$19:$AB$50, ""), "")</f>
        <v>0</v>
      </c>
      <c r="J53" s="262"/>
      <c r="K53" s="262"/>
      <c r="L53" s="258" cm="1">
        <f t="array" ref="L53">_xlfn.XLOOKUP($A53, Dashboard!$U$19:$U$50, _xlfn.XLOOKUP("Price", Dashboard!$U$18:$AB$18, Dashboard!$U$19:$AB$50, ""), "")</f>
        <v>479.28</v>
      </c>
      <c r="M53" s="258"/>
      <c r="N53" s="258"/>
      <c r="O53" s="258"/>
      <c r="P53" s="259" cm="1">
        <f t="array" ref="P53">_xlfn.XLOOKUP($A53, Dashboard!$U$19:$U$50, _xlfn.XLOOKUP(P$47, Dashboard!$U$18:$AB$18, Dashboard!$U$19:$AB$50, ""), "")</f>
        <v>20891.999999999996</v>
      </c>
      <c r="Q53" s="259"/>
      <c r="R53" s="259"/>
      <c r="S53" s="259"/>
      <c r="T53" s="259"/>
      <c r="U53" s="259" cm="1">
        <f t="array" ref="U53">_xlfn.XLOOKUP($A53, Dashboard!$U$19:$U$50, _xlfn.XLOOKUP(U$47, Dashboard!$U$18:$AB$18, Dashboard!$U$19:$AB$50, ""), "")</f>
        <v>1787</v>
      </c>
      <c r="V53" s="259"/>
      <c r="W53" s="259"/>
      <c r="X53" s="259"/>
      <c r="Y53" s="259"/>
      <c r="Z53" s="260" cm="1">
        <f t="array" ref="Z53">_xlfn.XLOOKUP($A53, Dashboard!$U$19:$U$50, _xlfn.XLOOKUP("Option ROI", Dashboard!$U$18:$AB$18, Dashboard!$U$19:$AB$50, ""), "")</f>
        <v>0.55617802676626205</v>
      </c>
      <c r="AA53" s="260"/>
      <c r="AB53" s="260"/>
      <c r="AC53" s="260"/>
      <c r="AD53" s="261" cm="1">
        <f t="array" ref="AD53">_xlfn.XLOOKUP($A53, Dashboard!$U$19:$U$50, _xlfn.XLOOKUP(AD$47, Dashboard!$U$18:$AB$18, Dashboard!$U$19:$AB$50, ""), "")</f>
        <v>22678.999999999996</v>
      </c>
      <c r="AE53" s="261"/>
      <c r="AF53" s="261"/>
      <c r="AG53" s="261"/>
      <c r="AH53" s="261"/>
      <c r="AI53" s="260" cm="1">
        <f t="array" ref="AI53">_xlfn.XLOOKUP($A53, Dashboard!$U$19:$U$50, _xlfn.XLOOKUP("Net ROI", Dashboard!$U$18:$AB$18, Dashboard!$U$19:$AB$50, ""), "")</f>
        <v>0.41833139652850787</v>
      </c>
      <c r="AJ53" s="260"/>
      <c r="AK53" s="260"/>
      <c r="AL53" s="260"/>
    </row>
    <row r="54" spans="1:38" x14ac:dyDescent="0.3">
      <c r="A54" s="256" t="str">
        <f>IF(Dashboard!U25&lt;&gt;"",Dashboard!U25,"")</f>
        <v>Strike Level 3</v>
      </c>
      <c r="B54" s="256"/>
      <c r="C54" s="256"/>
      <c r="D54" s="256"/>
      <c r="E54" s="256"/>
      <c r="F54" s="256"/>
      <c r="G54" s="256"/>
      <c r="H54" s="256"/>
      <c r="I54" s="262" cm="1">
        <f t="array" ref="I54">_xlfn.XLOOKUP($A54, Dashboard!$U$19:$U$50, _xlfn.XLOOKUP(I$47, Dashboard!$U$18:$AB$18, Dashboard!$U$19:$AB$50, ""), "")</f>
        <v>4.3231513937573088E-2</v>
      </c>
      <c r="J54" s="262"/>
      <c r="K54" s="262"/>
      <c r="L54" s="258" cm="1">
        <f t="array" ref="L54">_xlfn.XLOOKUP($A54, Dashboard!$U$19:$U$50, _xlfn.XLOOKUP("Price", Dashboard!$U$18:$AB$18, Dashboard!$U$19:$AB$50, ""), "")</f>
        <v>500</v>
      </c>
      <c r="M54" s="258"/>
      <c r="N54" s="258"/>
      <c r="O54" s="258"/>
      <c r="P54" s="259" cm="1">
        <f t="array" ref="P54">_xlfn.XLOOKUP($A54, Dashboard!$U$19:$U$50, _xlfn.XLOOKUP(P$47, Dashboard!$U$18:$AB$18, Dashboard!$U$19:$AB$50, ""), "")</f>
        <v>24000</v>
      </c>
      <c r="Q54" s="259"/>
      <c r="R54" s="259"/>
      <c r="S54" s="259"/>
      <c r="T54" s="259"/>
      <c r="U54" s="259" cm="1">
        <f t="array" ref="U54">_xlfn.XLOOKUP($A54, Dashboard!$U$19:$U$50, _xlfn.XLOOKUP(U$47, Dashboard!$U$18:$AB$18, Dashboard!$U$19:$AB$50, ""), "")</f>
        <v>1787</v>
      </c>
      <c r="V54" s="259"/>
      <c r="W54" s="259"/>
      <c r="X54" s="259"/>
      <c r="Y54" s="259"/>
      <c r="Z54" s="260" cm="1">
        <f t="array" ref="Z54">_xlfn.XLOOKUP($A54, Dashboard!$U$19:$U$50, _xlfn.XLOOKUP("Option ROI", Dashboard!$U$18:$AB$18, Dashboard!$U$19:$AB$50, ""), "")</f>
        <v>0.55617802676626205</v>
      </c>
      <c r="AA54" s="260"/>
      <c r="AB54" s="260"/>
      <c r="AC54" s="260"/>
      <c r="AD54" s="259" cm="1">
        <f t="array" ref="AD54">_xlfn.XLOOKUP($A54, Dashboard!$U$19:$U$50, _xlfn.XLOOKUP(AD$47, Dashboard!$U$18:$AB$18, Dashboard!$U$19:$AB$50, ""), "")</f>
        <v>25787</v>
      </c>
      <c r="AE54" s="259"/>
      <c r="AF54" s="259"/>
      <c r="AG54" s="259"/>
      <c r="AH54" s="259"/>
      <c r="AI54" s="262" cm="1">
        <f t="array" ref="AI54">_xlfn.XLOOKUP($A54, Dashboard!$U$19:$U$50, _xlfn.XLOOKUP("Net ROI", Dashboard!$U$18:$AB$18, Dashboard!$U$19:$AB$50, ""), "")</f>
        <v>0.47566081936066995</v>
      </c>
      <c r="AJ54" s="262"/>
      <c r="AK54" s="262"/>
      <c r="AL54" s="262"/>
    </row>
    <row r="55" spans="1:38" x14ac:dyDescent="0.3">
      <c r="A55" s="256" t="str">
        <f>IF(Dashboard!U26&lt;&gt;"",Dashboard!U26,"")</f>
        <v>Strike Level 4</v>
      </c>
      <c r="B55" s="256"/>
      <c r="C55" s="256"/>
      <c r="D55" s="256"/>
      <c r="E55" s="256"/>
      <c r="F55" s="256"/>
      <c r="G55" s="256"/>
      <c r="H55" s="256"/>
      <c r="I55" s="262" cm="1">
        <f t="array" ref="I55">_xlfn.XLOOKUP($A55, Dashboard!$U$19:$U$50, _xlfn.XLOOKUP(I$47, Dashboard!$U$18:$AB$18, Dashboard!$U$19:$AB$50, ""), "")</f>
        <v>0.14755466533133038</v>
      </c>
      <c r="J55" s="262"/>
      <c r="K55" s="262"/>
      <c r="L55" s="258" cm="1">
        <f t="array" ref="L55">_xlfn.XLOOKUP($A55, Dashboard!$U$19:$U$50, _xlfn.XLOOKUP("Price", Dashboard!$U$18:$AB$18, Dashboard!$U$19:$AB$50, ""), "")</f>
        <v>550</v>
      </c>
      <c r="M55" s="258"/>
      <c r="N55" s="258"/>
      <c r="O55" s="258"/>
      <c r="P55" s="259" cm="1">
        <f t="array" ref="P55">_xlfn.XLOOKUP($A55, Dashboard!$U$19:$U$50, _xlfn.XLOOKUP(P$47, Dashboard!$U$18:$AB$18, Dashboard!$U$19:$AB$50, ""), "")</f>
        <v>31500</v>
      </c>
      <c r="Q55" s="259"/>
      <c r="R55" s="259"/>
      <c r="S55" s="259"/>
      <c r="T55" s="259"/>
      <c r="U55" s="259" cm="1">
        <f t="array" ref="U55">_xlfn.XLOOKUP($A55, Dashboard!$U$19:$U$50, _xlfn.XLOOKUP(U$47, Dashboard!$U$18:$AB$18, Dashboard!$U$19:$AB$50, ""), "")</f>
        <v>-3213</v>
      </c>
      <c r="V55" s="259"/>
      <c r="W55" s="259"/>
      <c r="X55" s="259"/>
      <c r="Y55" s="259"/>
      <c r="Z55" s="260" cm="1">
        <f t="array" ref="Z55">_xlfn.XLOOKUP($A55, Dashboard!$U$19:$U$50, _xlfn.XLOOKUP("Option ROI", Dashboard!$U$18:$AB$18, Dashboard!$U$19:$AB$50, ""), "")</f>
        <v>-1</v>
      </c>
      <c r="AA55" s="260"/>
      <c r="AB55" s="260"/>
      <c r="AC55" s="260"/>
      <c r="AD55" s="261" cm="1">
        <f t="array" ref="AD55">_xlfn.XLOOKUP($A55, Dashboard!$U$19:$U$50, _xlfn.XLOOKUP(AD$47, Dashboard!$U$18:$AB$18, Dashboard!$U$19:$AB$50, ""), "")</f>
        <v>28287</v>
      </c>
      <c r="AE55" s="261"/>
      <c r="AF55" s="261"/>
      <c r="AG55" s="261"/>
      <c r="AH55" s="261"/>
      <c r="AI55" s="260" cm="1">
        <f t="array" ref="AI55">_xlfn.XLOOKUP($A55, Dashboard!$U$19:$U$50, _xlfn.XLOOKUP("Net ROI", Dashboard!$U$18:$AB$18, Dashboard!$U$19:$AB$50, ""), "")</f>
        <v>0.52177521996569087</v>
      </c>
      <c r="AJ55" s="260"/>
      <c r="AK55" s="260"/>
      <c r="AL55" s="260"/>
    </row>
    <row r="56" spans="1:38" x14ac:dyDescent="0.3">
      <c r="A56" s="256" t="str">
        <f>IF(Dashboard!U27&lt;&gt;"",Dashboard!U27,"")</f>
        <v>Stock to Infinity</v>
      </c>
      <c r="B56" s="256"/>
      <c r="C56" s="256"/>
      <c r="D56" s="256"/>
      <c r="E56" s="256"/>
      <c r="F56" s="256"/>
      <c r="G56" s="256"/>
      <c r="H56" s="256"/>
      <c r="I56" s="262" t="str" cm="1">
        <f t="array" ref="I56">_xlfn.XLOOKUP($A56, Dashboard!$U$19:$U$50, _xlfn.XLOOKUP(I$47, Dashboard!$U$18:$AB$18, Dashboard!$U$19:$AB$50, ""), "")</f>
        <v>---</v>
      </c>
      <c r="J56" s="262"/>
      <c r="K56" s="262"/>
      <c r="L56" s="258" t="str" cm="1">
        <f t="array" ref="L56">_xlfn.XLOOKUP($A56, Dashboard!$U$19:$U$50, _xlfn.XLOOKUP("Price", Dashboard!$U$18:$AB$18, Dashboard!$U$19:$AB$50, ""), "")</f>
        <v>∞</v>
      </c>
      <c r="M56" s="258"/>
      <c r="N56" s="258"/>
      <c r="O56" s="258"/>
      <c r="P56" s="259" t="str" cm="1">
        <f t="array" ref="P56">_xlfn.XLOOKUP($A56, Dashboard!$U$19:$U$50, _xlfn.XLOOKUP(P$47, Dashboard!$U$18:$AB$18, Dashboard!$U$19:$AB$50, ""), "")</f>
        <v>∞</v>
      </c>
      <c r="Q56" s="259"/>
      <c r="R56" s="259"/>
      <c r="S56" s="259"/>
      <c r="T56" s="259"/>
      <c r="U56" s="259" cm="1">
        <f t="array" ref="U56">_xlfn.XLOOKUP($A56, Dashboard!$U$19:$U$50, _xlfn.XLOOKUP(U$47, Dashboard!$U$18:$AB$18, Dashboard!$U$19:$AB$50, ""), "")</f>
        <v>-3213</v>
      </c>
      <c r="V56" s="259"/>
      <c r="W56" s="259"/>
      <c r="X56" s="259"/>
      <c r="Y56" s="259"/>
      <c r="Z56" s="260" cm="1">
        <f t="array" ref="Z56">_xlfn.XLOOKUP($A56, Dashboard!$U$19:$U$50, _xlfn.XLOOKUP("Option ROI", Dashboard!$U$18:$AB$18, Dashboard!$U$19:$AB$50, ""), "")</f>
        <v>-1</v>
      </c>
      <c r="AA56" s="260"/>
      <c r="AB56" s="260"/>
      <c r="AC56" s="260"/>
      <c r="AD56" s="259" t="str" cm="1">
        <f t="array" ref="AD56">_xlfn.XLOOKUP($A56, Dashboard!$U$19:$U$50, _xlfn.XLOOKUP(AD$47, Dashboard!$U$18:$AB$18, Dashboard!$U$19:$AB$50, ""), "")</f>
        <v>Unlimited</v>
      </c>
      <c r="AE56" s="259"/>
      <c r="AF56" s="259"/>
      <c r="AG56" s="259"/>
      <c r="AH56" s="259"/>
      <c r="AI56" s="262" t="str" cm="1">
        <f t="array" ref="AI56">_xlfn.XLOOKUP($A56, Dashboard!$U$19:$U$50, _xlfn.XLOOKUP("Net ROI", Dashboard!$U$18:$AB$18, Dashboard!$U$19:$AB$50, ""), "")</f>
        <v>Unlimited</v>
      </c>
      <c r="AJ56" s="262"/>
      <c r="AK56" s="262"/>
      <c r="AL56" s="262"/>
    </row>
    <row r="57" spans="1:38" x14ac:dyDescent="0.3">
      <c r="B57" s="214"/>
      <c r="C57" s="214"/>
      <c r="D57" s="214"/>
      <c r="E57" s="214"/>
      <c r="F57" s="214"/>
      <c r="G57" s="214"/>
      <c r="H57" s="214"/>
      <c r="I57" s="214"/>
      <c r="J57" s="214"/>
      <c r="K57" s="214"/>
      <c r="L57" s="214"/>
      <c r="M57" s="214"/>
      <c r="N57" s="214"/>
      <c r="O57" s="214"/>
      <c r="P57" s="214"/>
      <c r="Q57" s="214"/>
      <c r="R57" s="214"/>
      <c r="S57" s="214"/>
      <c r="T57" s="214"/>
      <c r="U57" s="214"/>
      <c r="V57" s="214"/>
      <c r="W57" s="214"/>
      <c r="X57" s="214"/>
      <c r="Y57" s="214"/>
      <c r="Z57" s="214"/>
      <c r="AA57" s="9"/>
      <c r="AB57" s="9"/>
      <c r="AC57" s="9"/>
      <c r="AD57" s="9"/>
      <c r="AE57" s="9"/>
      <c r="AF57" s="9"/>
      <c r="AG57" s="9"/>
      <c r="AH57" s="9"/>
      <c r="AI57" s="9"/>
      <c r="AJ57" s="9"/>
      <c r="AK57" s="9"/>
      <c r="AL57" s="9"/>
    </row>
    <row r="58" spans="1:38" x14ac:dyDescent="0.3">
      <c r="A58" s="239" t="s">
        <v>1382</v>
      </c>
      <c r="B58" s="239"/>
      <c r="C58" s="239"/>
      <c r="D58" s="239"/>
      <c r="E58" s="239"/>
      <c r="F58" s="239"/>
      <c r="G58" s="239"/>
      <c r="H58" s="239"/>
      <c r="I58" s="239"/>
      <c r="J58" s="239"/>
      <c r="K58" s="239"/>
      <c r="L58" s="239"/>
      <c r="M58" s="239"/>
      <c r="N58" s="214"/>
      <c r="O58" s="214"/>
      <c r="P58" s="214"/>
      <c r="Q58" s="214"/>
      <c r="R58" s="214"/>
      <c r="S58" s="214"/>
      <c r="T58" s="214"/>
      <c r="U58" s="214"/>
      <c r="V58" s="214"/>
      <c r="W58" s="214"/>
      <c r="X58" s="214"/>
      <c r="Y58" s="214"/>
      <c r="Z58" s="214"/>
      <c r="AA58" s="9"/>
      <c r="AB58" s="9"/>
      <c r="AC58" s="9"/>
      <c r="AD58" s="9"/>
      <c r="AE58" s="9"/>
      <c r="AF58" s="9"/>
      <c r="AG58" s="9"/>
      <c r="AH58" s="9"/>
      <c r="AI58" s="9"/>
      <c r="AJ58" s="9"/>
      <c r="AK58" s="9"/>
      <c r="AL58" s="9"/>
    </row>
    <row r="59" spans="1:38" x14ac:dyDescent="0.3">
      <c r="A59" s="239"/>
      <c r="B59" s="239"/>
      <c r="C59" s="239"/>
      <c r="D59" s="239"/>
      <c r="E59" s="239"/>
      <c r="F59" s="239"/>
      <c r="G59" s="239"/>
      <c r="H59" s="239"/>
      <c r="I59" s="239"/>
      <c r="J59" s="239"/>
      <c r="K59" s="239"/>
      <c r="L59" s="239"/>
      <c r="M59" s="239"/>
      <c r="N59" s="214"/>
      <c r="O59" s="214"/>
      <c r="P59" s="214"/>
      <c r="Q59" s="214"/>
      <c r="R59" s="214"/>
      <c r="S59" s="214"/>
      <c r="T59" s="214"/>
      <c r="U59" s="214"/>
      <c r="V59" s="214"/>
      <c r="W59" s="214"/>
      <c r="X59" s="214"/>
      <c r="Y59" s="214"/>
      <c r="Z59" s="214"/>
      <c r="AA59" s="9"/>
      <c r="AB59" s="9"/>
      <c r="AC59" s="9"/>
      <c r="AD59" s="9"/>
      <c r="AE59" s="9"/>
      <c r="AF59" s="9"/>
      <c r="AG59" s="9"/>
      <c r="AH59" s="9"/>
      <c r="AI59" s="9"/>
      <c r="AJ59" s="9"/>
      <c r="AK59" s="9"/>
      <c r="AL59" s="9"/>
    </row>
    <row r="60" spans="1:38" ht="14.4" customHeight="1" x14ac:dyDescent="0.3">
      <c r="A60" s="273" t="str">
        <f>IF(Dashboard!U19&lt;&gt;"",Dashboard!U19,"")</f>
        <v>Stock to Zero</v>
      </c>
      <c r="B60" s="273"/>
      <c r="C60" s="273"/>
      <c r="D60" s="273"/>
      <c r="E60" s="273"/>
      <c r="F60" s="273"/>
      <c r="G60" s="274" t="str">
        <f>IF(Dashboard!U19&lt;&gt;"",Dashboard!AC19,"")</f>
        <v>Downside stress (options): Below the lower short strike ($450.00), the option overlay can lose value, but the long put helps limit the maximum option loss.  Stock + Options (combined): Both the stock and the option overlay are working against you at this level. Most of the movement here is coming from the stock position.</v>
      </c>
      <c r="H60" s="274"/>
      <c r="I60" s="274"/>
      <c r="J60" s="274"/>
      <c r="K60" s="274"/>
      <c r="L60" s="274"/>
      <c r="M60" s="274"/>
      <c r="N60" s="274"/>
      <c r="O60" s="274"/>
      <c r="P60" s="274"/>
      <c r="Q60" s="274"/>
      <c r="R60" s="274"/>
      <c r="S60" s="274"/>
      <c r="T60" s="274"/>
      <c r="U60" s="274"/>
      <c r="V60" s="274"/>
      <c r="W60" s="274"/>
      <c r="X60" s="274"/>
      <c r="Y60" s="274"/>
      <c r="Z60" s="274"/>
      <c r="AA60" s="274"/>
      <c r="AB60" s="274"/>
      <c r="AC60" s="274"/>
      <c r="AD60" s="274"/>
      <c r="AE60" s="274"/>
      <c r="AF60" s="274"/>
      <c r="AG60" s="274"/>
      <c r="AH60" s="274"/>
      <c r="AI60" s="274"/>
      <c r="AJ60" s="274"/>
      <c r="AK60" s="274"/>
      <c r="AL60" s="274"/>
    </row>
    <row r="61" spans="1:38" x14ac:dyDescent="0.3">
      <c r="A61" s="273"/>
      <c r="B61" s="273"/>
      <c r="C61" s="273"/>
      <c r="D61" s="273"/>
      <c r="E61" s="273"/>
      <c r="F61" s="273"/>
      <c r="G61" s="274"/>
      <c r="H61" s="274"/>
      <c r="I61" s="274"/>
      <c r="J61" s="274"/>
      <c r="K61" s="274"/>
      <c r="L61" s="274"/>
      <c r="M61" s="274"/>
      <c r="N61" s="274"/>
      <c r="O61" s="274"/>
      <c r="P61" s="274"/>
      <c r="Q61" s="274"/>
      <c r="R61" s="274"/>
      <c r="S61" s="274"/>
      <c r="T61" s="274"/>
      <c r="U61" s="274"/>
      <c r="V61" s="274"/>
      <c r="W61" s="274"/>
      <c r="X61" s="274"/>
      <c r="Y61" s="274"/>
      <c r="Z61" s="274"/>
      <c r="AA61" s="274"/>
      <c r="AB61" s="274"/>
      <c r="AC61" s="274"/>
      <c r="AD61" s="274"/>
      <c r="AE61" s="274"/>
      <c r="AF61" s="274"/>
      <c r="AG61" s="274"/>
      <c r="AH61" s="274"/>
      <c r="AI61" s="274"/>
      <c r="AJ61" s="274"/>
      <c r="AK61" s="274"/>
      <c r="AL61" s="274"/>
    </row>
    <row r="62" spans="1:38" x14ac:dyDescent="0.3">
      <c r="A62" s="273"/>
      <c r="B62" s="273"/>
      <c r="C62" s="273"/>
      <c r="D62" s="273"/>
      <c r="E62" s="273"/>
      <c r="F62" s="273"/>
      <c r="G62" s="274"/>
      <c r="H62" s="274"/>
      <c r="I62" s="274"/>
      <c r="J62" s="274"/>
      <c r="K62" s="274"/>
      <c r="L62" s="274"/>
      <c r="M62" s="274"/>
      <c r="N62" s="274"/>
      <c r="O62" s="274"/>
      <c r="P62" s="274"/>
      <c r="Q62" s="274"/>
      <c r="R62" s="274"/>
      <c r="S62" s="274"/>
      <c r="T62" s="274"/>
      <c r="U62" s="274"/>
      <c r="V62" s="274"/>
      <c r="W62" s="274"/>
      <c r="X62" s="274"/>
      <c r="Y62" s="274"/>
      <c r="Z62" s="274"/>
      <c r="AA62" s="274"/>
      <c r="AB62" s="274"/>
      <c r="AC62" s="274"/>
      <c r="AD62" s="274"/>
      <c r="AE62" s="274"/>
      <c r="AF62" s="274"/>
      <c r="AG62" s="274"/>
      <c r="AH62" s="274"/>
      <c r="AI62" s="274"/>
      <c r="AJ62" s="274"/>
      <c r="AK62" s="274"/>
      <c r="AL62" s="274"/>
    </row>
    <row r="63" spans="1:38" ht="14.4" customHeight="1" x14ac:dyDescent="0.3">
      <c r="A63" s="273" t="str">
        <f>IF(Dashboard!U20&lt;&gt;"",Dashboard!U20,"")</f>
        <v>Stock Cost Basis</v>
      </c>
      <c r="B63" s="273"/>
      <c r="C63" s="273"/>
      <c r="D63" s="273"/>
      <c r="E63" s="273"/>
      <c r="F63" s="273"/>
      <c r="G63" s="274" t="str">
        <f>IF(Dashboard!U20&lt;&gt;"",Dashboard!AC20,"")</f>
        <v>Downside stress (options): Below the lower short strike ($450.00), the option overlay can lose value, but the long put helps limit the maximum option loss.  Stock + Options (combined): Most of the movement here is coming from the option overlay.</v>
      </c>
      <c r="H63" s="274"/>
      <c r="I63" s="274"/>
      <c r="J63" s="274"/>
      <c r="K63" s="274"/>
      <c r="L63" s="274"/>
      <c r="M63" s="274"/>
      <c r="N63" s="274"/>
      <c r="O63" s="274"/>
      <c r="P63" s="274"/>
      <c r="Q63" s="274"/>
      <c r="R63" s="274"/>
      <c r="S63" s="274"/>
      <c r="T63" s="274"/>
      <c r="U63" s="274"/>
      <c r="V63" s="274"/>
      <c r="W63" s="274"/>
      <c r="X63" s="274"/>
      <c r="Y63" s="274"/>
      <c r="Z63" s="274"/>
      <c r="AA63" s="274"/>
      <c r="AB63" s="274"/>
      <c r="AC63" s="274"/>
      <c r="AD63" s="274"/>
      <c r="AE63" s="274"/>
      <c r="AF63" s="274"/>
      <c r="AG63" s="274"/>
      <c r="AH63" s="274"/>
      <c r="AI63" s="274"/>
      <c r="AJ63" s="274"/>
      <c r="AK63" s="274"/>
      <c r="AL63" s="274"/>
    </row>
    <row r="64" spans="1:38" x14ac:dyDescent="0.3">
      <c r="A64" s="273"/>
      <c r="B64" s="273"/>
      <c r="C64" s="273"/>
      <c r="D64" s="273"/>
      <c r="E64" s="273"/>
      <c r="F64" s="273"/>
      <c r="G64" s="274"/>
      <c r="H64" s="274"/>
      <c r="I64" s="274"/>
      <c r="J64" s="274"/>
      <c r="K64" s="274"/>
      <c r="L64" s="274"/>
      <c r="M64" s="274"/>
      <c r="N64" s="274"/>
      <c r="O64" s="274"/>
      <c r="P64" s="274"/>
      <c r="Q64" s="274"/>
      <c r="R64" s="274"/>
      <c r="S64" s="274"/>
      <c r="T64" s="274"/>
      <c r="U64" s="274"/>
      <c r="V64" s="274"/>
      <c r="W64" s="274"/>
      <c r="X64" s="274"/>
      <c r="Y64" s="274"/>
      <c r="Z64" s="274"/>
      <c r="AA64" s="274"/>
      <c r="AB64" s="274"/>
      <c r="AC64" s="274"/>
      <c r="AD64" s="274"/>
      <c r="AE64" s="274"/>
      <c r="AF64" s="274"/>
      <c r="AG64" s="274"/>
      <c r="AH64" s="274"/>
      <c r="AI64" s="274"/>
      <c r="AJ64" s="274"/>
      <c r="AK64" s="274"/>
      <c r="AL64" s="274"/>
    </row>
    <row r="65" spans="1:38" x14ac:dyDescent="0.3">
      <c r="A65" s="273"/>
      <c r="B65" s="273"/>
      <c r="C65" s="273"/>
      <c r="D65" s="273"/>
      <c r="E65" s="273"/>
      <c r="F65" s="273"/>
      <c r="G65" s="274"/>
      <c r="H65" s="274"/>
      <c r="I65" s="274"/>
      <c r="J65" s="274"/>
      <c r="K65" s="274"/>
      <c r="L65" s="274"/>
      <c r="M65" s="274"/>
      <c r="N65" s="274"/>
      <c r="O65" s="274"/>
      <c r="P65" s="274"/>
      <c r="Q65" s="274"/>
      <c r="R65" s="274"/>
      <c r="S65" s="274"/>
      <c r="T65" s="274"/>
      <c r="U65" s="274"/>
      <c r="V65" s="274"/>
      <c r="W65" s="274"/>
      <c r="X65" s="274"/>
      <c r="Y65" s="274"/>
      <c r="Z65" s="274"/>
      <c r="AA65" s="274"/>
      <c r="AB65" s="274"/>
      <c r="AC65" s="274"/>
      <c r="AD65" s="274"/>
      <c r="AE65" s="274"/>
      <c r="AF65" s="274"/>
      <c r="AG65" s="274"/>
      <c r="AH65" s="274"/>
      <c r="AI65" s="274"/>
      <c r="AJ65" s="274"/>
      <c r="AK65" s="274"/>
      <c r="AL65" s="274"/>
    </row>
    <row r="66" spans="1:38" ht="14.4" customHeight="1" x14ac:dyDescent="0.3">
      <c r="A66" s="273" t="str">
        <f>IF(Dashboard!U21&lt;&gt;"",Dashboard!U21,"")</f>
        <v>Combined Breakeven 1</v>
      </c>
      <c r="B66" s="273"/>
      <c r="C66" s="273"/>
      <c r="D66" s="273"/>
      <c r="E66" s="273"/>
      <c r="F66" s="273"/>
      <c r="G66" s="274" t="str">
        <f>IF(Dashboard!U21&lt;&gt;"",Dashboard!AC21,"")</f>
        <v>Combined Breakeven: Net position turns profitable above $361.42.</v>
      </c>
      <c r="H66" s="274"/>
      <c r="I66" s="274"/>
      <c r="J66" s="274"/>
      <c r="K66" s="274"/>
      <c r="L66" s="274"/>
      <c r="M66" s="274"/>
      <c r="N66" s="274"/>
      <c r="O66" s="274"/>
      <c r="P66" s="274"/>
      <c r="Q66" s="274"/>
      <c r="R66" s="274"/>
      <c r="S66" s="274"/>
      <c r="T66" s="274"/>
      <c r="U66" s="274"/>
      <c r="V66" s="274"/>
      <c r="W66" s="274"/>
      <c r="X66" s="274"/>
      <c r="Y66" s="274"/>
      <c r="Z66" s="274"/>
      <c r="AA66" s="274"/>
      <c r="AB66" s="274"/>
      <c r="AC66" s="274"/>
      <c r="AD66" s="274"/>
      <c r="AE66" s="274"/>
      <c r="AF66" s="274"/>
      <c r="AG66" s="274"/>
      <c r="AH66" s="274"/>
      <c r="AI66" s="274"/>
      <c r="AJ66" s="274"/>
      <c r="AK66" s="274"/>
      <c r="AL66" s="274"/>
    </row>
    <row r="67" spans="1:38" x14ac:dyDescent="0.3">
      <c r="A67" s="273"/>
      <c r="B67" s="273"/>
      <c r="C67" s="273"/>
      <c r="D67" s="273"/>
      <c r="E67" s="273"/>
      <c r="F67" s="273"/>
      <c r="G67" s="274"/>
      <c r="H67" s="274"/>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4"/>
      <c r="AG67" s="274"/>
      <c r="AH67" s="274"/>
      <c r="AI67" s="274"/>
      <c r="AJ67" s="274"/>
      <c r="AK67" s="274"/>
      <c r="AL67" s="274"/>
    </row>
    <row r="68" spans="1:38" x14ac:dyDescent="0.3">
      <c r="A68" s="273"/>
      <c r="B68" s="273"/>
      <c r="C68" s="273"/>
      <c r="D68" s="273"/>
      <c r="E68" s="273"/>
      <c r="F68" s="273"/>
      <c r="G68" s="274"/>
      <c r="H68" s="274"/>
      <c r="I68" s="274"/>
      <c r="J68" s="274"/>
      <c r="K68" s="274"/>
      <c r="L68" s="274"/>
      <c r="M68" s="274"/>
      <c r="N68" s="274"/>
      <c r="O68" s="274"/>
      <c r="P68" s="274"/>
      <c r="Q68" s="274"/>
      <c r="R68" s="274"/>
      <c r="S68" s="274"/>
      <c r="T68" s="274"/>
      <c r="U68" s="274"/>
      <c r="V68" s="274"/>
      <c r="W68" s="274"/>
      <c r="X68" s="274"/>
      <c r="Y68" s="274"/>
      <c r="Z68" s="274"/>
      <c r="AA68" s="274"/>
      <c r="AB68" s="274"/>
      <c r="AC68" s="274"/>
      <c r="AD68" s="274"/>
      <c r="AE68" s="274"/>
      <c r="AF68" s="274"/>
      <c r="AG68" s="274"/>
      <c r="AH68" s="274"/>
      <c r="AI68" s="274"/>
      <c r="AJ68" s="274"/>
      <c r="AK68" s="274"/>
      <c r="AL68" s="274"/>
    </row>
    <row r="69" spans="1:38" ht="14.4" customHeight="1" x14ac:dyDescent="0.3">
      <c r="A69" s="273" t="str">
        <f>IF(Dashboard!U22&lt;&gt;"",Dashboard!U22,"")</f>
        <v>Strike Level 1</v>
      </c>
      <c r="B69" s="273"/>
      <c r="C69" s="273"/>
      <c r="D69" s="273"/>
      <c r="E69" s="273"/>
      <c r="F69" s="273"/>
      <c r="G69" s="274" t="str">
        <f>IF(Dashboard!U22&lt;&gt;"",Dashboard!AC22,"")</f>
        <v>Downside stress (options): Below the lower short strike ($450.00), the option overlay can lose value, but the long put helps limit the maximum option loss.  Stock + Options (combined): The option overlay is giving back part of the stock gains (the trade-off for premium/structure). Most of the movement here is coming from the stock position.</v>
      </c>
      <c r="H69" s="274"/>
      <c r="I69" s="274"/>
      <c r="J69" s="274"/>
      <c r="K69" s="274"/>
      <c r="L69" s="274"/>
      <c r="M69" s="274"/>
      <c r="N69" s="274"/>
      <c r="O69" s="274"/>
      <c r="P69" s="274"/>
      <c r="Q69" s="274"/>
      <c r="R69" s="274"/>
      <c r="S69" s="274"/>
      <c r="T69" s="274"/>
      <c r="U69" s="274"/>
      <c r="V69" s="274"/>
      <c r="W69" s="274"/>
      <c r="X69" s="274"/>
      <c r="Y69" s="274"/>
      <c r="Z69" s="274"/>
      <c r="AA69" s="274"/>
      <c r="AB69" s="274"/>
      <c r="AC69" s="274"/>
      <c r="AD69" s="274"/>
      <c r="AE69" s="274"/>
      <c r="AF69" s="274"/>
      <c r="AG69" s="274"/>
      <c r="AH69" s="274"/>
      <c r="AI69" s="274"/>
      <c r="AJ69" s="274"/>
      <c r="AK69" s="274"/>
      <c r="AL69" s="274"/>
    </row>
    <row r="70" spans="1:38" x14ac:dyDescent="0.3">
      <c r="A70" s="273"/>
      <c r="B70" s="273"/>
      <c r="C70" s="273"/>
      <c r="D70" s="273"/>
      <c r="E70" s="273"/>
      <c r="F70" s="273"/>
      <c r="G70" s="274"/>
      <c r="H70" s="274"/>
      <c r="I70" s="274"/>
      <c r="J70" s="274"/>
      <c r="K70" s="274"/>
      <c r="L70" s="274"/>
      <c r="M70" s="274"/>
      <c r="N70" s="274"/>
      <c r="O70" s="274"/>
      <c r="P70" s="274"/>
      <c r="Q70" s="274"/>
      <c r="R70" s="274"/>
      <c r="S70" s="274"/>
      <c r="T70" s="274"/>
      <c r="U70" s="274"/>
      <c r="V70" s="274"/>
      <c r="W70" s="274"/>
      <c r="X70" s="274"/>
      <c r="Y70" s="274"/>
      <c r="Z70" s="274"/>
      <c r="AA70" s="274"/>
      <c r="AB70" s="274"/>
      <c r="AC70" s="274"/>
      <c r="AD70" s="274"/>
      <c r="AE70" s="274"/>
      <c r="AF70" s="274"/>
      <c r="AG70" s="274"/>
      <c r="AH70" s="274"/>
      <c r="AI70" s="274"/>
      <c r="AJ70" s="274"/>
      <c r="AK70" s="274"/>
      <c r="AL70" s="274"/>
    </row>
    <row r="71" spans="1:38" x14ac:dyDescent="0.3">
      <c r="A71" s="273"/>
      <c r="B71" s="273"/>
      <c r="C71" s="273"/>
      <c r="D71" s="273"/>
      <c r="E71" s="273"/>
      <c r="F71" s="273"/>
      <c r="G71" s="274"/>
      <c r="H71" s="274"/>
      <c r="I71" s="274"/>
      <c r="J71" s="274"/>
      <c r="K71" s="274"/>
      <c r="L71" s="274"/>
      <c r="M71" s="274"/>
      <c r="N71" s="274"/>
      <c r="O71" s="274"/>
      <c r="P71" s="274"/>
      <c r="Q71" s="274"/>
      <c r="R71" s="274"/>
      <c r="S71" s="274"/>
      <c r="T71" s="274"/>
      <c r="U71" s="274"/>
      <c r="V71" s="274"/>
      <c r="W71" s="274"/>
      <c r="X71" s="274"/>
      <c r="Y71" s="274"/>
      <c r="Z71" s="274"/>
      <c r="AA71" s="274"/>
      <c r="AB71" s="274"/>
      <c r="AC71" s="274"/>
      <c r="AD71" s="274"/>
      <c r="AE71" s="274"/>
      <c r="AF71" s="274"/>
      <c r="AG71" s="274"/>
      <c r="AH71" s="274"/>
      <c r="AI71" s="274"/>
      <c r="AJ71" s="274"/>
      <c r="AK71" s="274"/>
      <c r="AL71" s="274"/>
    </row>
    <row r="72" spans="1:38" ht="14.4" customHeight="1" x14ac:dyDescent="0.3">
      <c r="A72" s="273" t="str">
        <f>IF(Dashboard!U23&lt;&gt;"",Dashboard!U23,"")</f>
        <v>Strike Level 2</v>
      </c>
      <c r="B72" s="273"/>
      <c r="C72" s="273"/>
      <c r="D72" s="273"/>
      <c r="E72" s="273"/>
      <c r="F72" s="273"/>
      <c r="G72" s="274" t="str">
        <f>IF(Dashboard!U23&lt;&gt;"",Dashboard!AC23,"")</f>
        <v>Income zone: Between $450.00 and $500.00, the goal is to retain premium if the stock stays contained.  Stock + Options (combined): Both the stock and the option overlay are helping at this level. Most of the movement here is coming from the stock position.</v>
      </c>
      <c r="H72" s="274"/>
      <c r="I72" s="274"/>
      <c r="J72" s="274"/>
      <c r="K72" s="274"/>
      <c r="L72" s="274"/>
      <c r="M72" s="274"/>
      <c r="N72" s="274"/>
      <c r="O72" s="274"/>
      <c r="P72" s="274"/>
      <c r="Q72" s="274"/>
      <c r="R72" s="274"/>
      <c r="S72" s="274"/>
      <c r="T72" s="274"/>
      <c r="U72" s="274"/>
      <c r="V72" s="274"/>
      <c r="W72" s="274"/>
      <c r="X72" s="274"/>
      <c r="Y72" s="274"/>
      <c r="Z72" s="274"/>
      <c r="AA72" s="274"/>
      <c r="AB72" s="274"/>
      <c r="AC72" s="274"/>
      <c r="AD72" s="274"/>
      <c r="AE72" s="274"/>
      <c r="AF72" s="274"/>
      <c r="AG72" s="274"/>
      <c r="AH72" s="274"/>
      <c r="AI72" s="274"/>
      <c r="AJ72" s="274"/>
      <c r="AK72" s="274"/>
      <c r="AL72" s="274"/>
    </row>
    <row r="73" spans="1:38" x14ac:dyDescent="0.3">
      <c r="A73" s="273"/>
      <c r="B73" s="273"/>
      <c r="C73" s="273"/>
      <c r="D73" s="273"/>
      <c r="E73" s="273"/>
      <c r="F73" s="273"/>
      <c r="G73" s="274"/>
      <c r="H73" s="274"/>
      <c r="I73" s="274"/>
      <c r="J73" s="274"/>
      <c r="K73" s="274"/>
      <c r="L73" s="274"/>
      <c r="M73" s="274"/>
      <c r="N73" s="274"/>
      <c r="O73" s="274"/>
      <c r="P73" s="274"/>
      <c r="Q73" s="274"/>
      <c r="R73" s="274"/>
      <c r="S73" s="274"/>
      <c r="T73" s="274"/>
      <c r="U73" s="274"/>
      <c r="V73" s="274"/>
      <c r="W73" s="274"/>
      <c r="X73" s="274"/>
      <c r="Y73" s="274"/>
      <c r="Z73" s="274"/>
      <c r="AA73" s="274"/>
      <c r="AB73" s="274"/>
      <c r="AC73" s="274"/>
      <c r="AD73" s="274"/>
      <c r="AE73" s="274"/>
      <c r="AF73" s="274"/>
      <c r="AG73" s="274"/>
      <c r="AH73" s="274"/>
      <c r="AI73" s="274"/>
      <c r="AJ73" s="274"/>
      <c r="AK73" s="274"/>
      <c r="AL73" s="274"/>
    </row>
    <row r="74" spans="1:38" x14ac:dyDescent="0.3">
      <c r="A74" s="273"/>
      <c r="B74" s="273"/>
      <c r="C74" s="273"/>
      <c r="D74" s="273"/>
      <c r="E74" s="273"/>
      <c r="F74" s="273"/>
      <c r="G74" s="274"/>
      <c r="H74" s="274"/>
      <c r="I74" s="274"/>
      <c r="J74" s="274"/>
      <c r="K74" s="274"/>
      <c r="L74" s="274"/>
      <c r="M74" s="274"/>
      <c r="N74" s="274"/>
      <c r="O74" s="274"/>
      <c r="P74" s="274"/>
      <c r="Q74" s="274"/>
      <c r="R74" s="274"/>
      <c r="S74" s="274"/>
      <c r="T74" s="274"/>
      <c r="U74" s="274"/>
      <c r="V74" s="274"/>
      <c r="W74" s="274"/>
      <c r="X74" s="274"/>
      <c r="Y74" s="274"/>
      <c r="Z74" s="274"/>
      <c r="AA74" s="274"/>
      <c r="AB74" s="274"/>
      <c r="AC74" s="274"/>
      <c r="AD74" s="274"/>
      <c r="AE74" s="274"/>
      <c r="AF74" s="274"/>
      <c r="AG74" s="274"/>
      <c r="AH74" s="274"/>
      <c r="AI74" s="274"/>
      <c r="AJ74" s="274"/>
      <c r="AK74" s="274"/>
      <c r="AL74" s="274"/>
    </row>
    <row r="75" spans="1:38" ht="14.4" customHeight="1" x14ac:dyDescent="0.3">
      <c r="A75" s="273" t="str">
        <f>IF(Dashboard!U24&lt;&gt;"",Dashboard!U24,"")</f>
        <v>Current Market Price</v>
      </c>
      <c r="B75" s="273"/>
      <c r="C75" s="273"/>
      <c r="D75" s="273"/>
      <c r="E75" s="273"/>
      <c r="F75" s="273"/>
      <c r="G75" s="274" t="str">
        <f>IF(Dashboard!U24&lt;&gt;"",Dashboard!AC24,"")</f>
        <v>Current Status: Position is profitable. Strategy is outperforming stock holding by $1,787.</v>
      </c>
      <c r="H75" s="274"/>
      <c r="I75" s="274"/>
      <c r="J75" s="274"/>
      <c r="K75" s="274"/>
      <c r="L75" s="274"/>
      <c r="M75" s="274"/>
      <c r="N75" s="274"/>
      <c r="O75" s="274"/>
      <c r="P75" s="274"/>
      <c r="Q75" s="274"/>
      <c r="R75" s="274"/>
      <c r="S75" s="274"/>
      <c r="T75" s="274"/>
      <c r="U75" s="274"/>
      <c r="V75" s="274"/>
      <c r="W75" s="274"/>
      <c r="X75" s="274"/>
      <c r="Y75" s="274"/>
      <c r="Z75" s="274"/>
      <c r="AA75" s="274"/>
      <c r="AB75" s="274"/>
      <c r="AC75" s="274"/>
      <c r="AD75" s="274"/>
      <c r="AE75" s="274"/>
      <c r="AF75" s="274"/>
      <c r="AG75" s="274"/>
      <c r="AH75" s="274"/>
      <c r="AI75" s="274"/>
      <c r="AJ75" s="274"/>
      <c r="AK75" s="274"/>
      <c r="AL75" s="274"/>
    </row>
    <row r="76" spans="1:38" x14ac:dyDescent="0.3">
      <c r="A76" s="273"/>
      <c r="B76" s="273"/>
      <c r="C76" s="273"/>
      <c r="D76" s="273"/>
      <c r="E76" s="273"/>
      <c r="F76" s="273"/>
      <c r="G76" s="274"/>
      <c r="H76" s="274"/>
      <c r="I76" s="274"/>
      <c r="J76" s="274"/>
      <c r="K76" s="274"/>
      <c r="L76" s="274"/>
      <c r="M76" s="274"/>
      <c r="N76" s="274"/>
      <c r="O76" s="274"/>
      <c r="P76" s="274"/>
      <c r="Q76" s="274"/>
      <c r="R76" s="274"/>
      <c r="S76" s="274"/>
      <c r="T76" s="274"/>
      <c r="U76" s="274"/>
      <c r="V76" s="274"/>
      <c r="W76" s="274"/>
      <c r="X76" s="274"/>
      <c r="Y76" s="274"/>
      <c r="Z76" s="274"/>
      <c r="AA76" s="274"/>
      <c r="AB76" s="274"/>
      <c r="AC76" s="274"/>
      <c r="AD76" s="274"/>
      <c r="AE76" s="274"/>
      <c r="AF76" s="274"/>
      <c r="AG76" s="274"/>
      <c r="AH76" s="274"/>
      <c r="AI76" s="274"/>
      <c r="AJ76" s="274"/>
      <c r="AK76" s="274"/>
      <c r="AL76" s="274"/>
    </row>
    <row r="77" spans="1:38" x14ac:dyDescent="0.3">
      <c r="A77" s="273"/>
      <c r="B77" s="273"/>
      <c r="C77" s="273"/>
      <c r="D77" s="273"/>
      <c r="E77" s="273"/>
      <c r="F77" s="273"/>
      <c r="G77" s="274"/>
      <c r="H77" s="274"/>
      <c r="I77" s="274"/>
      <c r="J77" s="274"/>
      <c r="K77" s="274"/>
      <c r="L77" s="274"/>
      <c r="M77" s="274"/>
      <c r="N77" s="274"/>
      <c r="O77" s="274"/>
      <c r="P77" s="274"/>
      <c r="Q77" s="274"/>
      <c r="R77" s="274"/>
      <c r="S77" s="274"/>
      <c r="T77" s="274"/>
      <c r="U77" s="274"/>
      <c r="V77" s="274"/>
      <c r="W77" s="274"/>
      <c r="X77" s="274"/>
      <c r="Y77" s="274"/>
      <c r="Z77" s="274"/>
      <c r="AA77" s="274"/>
      <c r="AB77" s="274"/>
      <c r="AC77" s="274"/>
      <c r="AD77" s="274"/>
      <c r="AE77" s="274"/>
      <c r="AF77" s="274"/>
      <c r="AG77" s="274"/>
      <c r="AH77" s="274"/>
      <c r="AI77" s="274"/>
      <c r="AJ77" s="274"/>
      <c r="AK77" s="274"/>
      <c r="AL77" s="274"/>
    </row>
    <row r="78" spans="1:38" ht="14.4" customHeight="1" x14ac:dyDescent="0.3">
      <c r="A78" s="273" t="str">
        <f>IF(Dashboard!U25&lt;&gt;"",Dashboard!U25,"")</f>
        <v>Strike Level 3</v>
      </c>
      <c r="B78" s="273"/>
      <c r="C78" s="273"/>
      <c r="D78" s="273"/>
      <c r="E78" s="273"/>
      <c r="F78" s="273"/>
      <c r="G78" s="274" t="str">
        <f>IF(Dashboard!U25&lt;&gt;"",Dashboard!AC25,"")</f>
        <v>Income zone: Between $450.00 and $500.00, the goal is to retain premium if the stock stays contained.  Stock + Options (combined): Both the stock and the option overlay are helping at this level. Most of the movement here is coming from the stock position.</v>
      </c>
      <c r="H78" s="274"/>
      <c r="I78" s="274"/>
      <c r="J78" s="274"/>
      <c r="K78" s="274"/>
      <c r="L78" s="274"/>
      <c r="M78" s="274"/>
      <c r="N78" s="274"/>
      <c r="O78" s="274"/>
      <c r="P78" s="274"/>
      <c r="Q78" s="274"/>
      <c r="R78" s="274"/>
      <c r="S78" s="274"/>
      <c r="T78" s="274"/>
      <c r="U78" s="274"/>
      <c r="V78" s="274"/>
      <c r="W78" s="274"/>
      <c r="X78" s="274"/>
      <c r="Y78" s="274"/>
      <c r="Z78" s="274"/>
      <c r="AA78" s="274"/>
      <c r="AB78" s="274"/>
      <c r="AC78" s="274"/>
      <c r="AD78" s="274"/>
      <c r="AE78" s="274"/>
      <c r="AF78" s="274"/>
      <c r="AG78" s="274"/>
      <c r="AH78" s="274"/>
      <c r="AI78" s="274"/>
      <c r="AJ78" s="274"/>
      <c r="AK78" s="274"/>
      <c r="AL78" s="274"/>
    </row>
    <row r="79" spans="1:38" x14ac:dyDescent="0.3">
      <c r="A79" s="273"/>
      <c r="B79" s="273"/>
      <c r="C79" s="273"/>
      <c r="D79" s="273"/>
      <c r="E79" s="273"/>
      <c r="F79" s="273"/>
      <c r="G79" s="274"/>
      <c r="H79" s="274"/>
      <c r="I79" s="274"/>
      <c r="J79" s="274"/>
      <c r="K79" s="274"/>
      <c r="L79" s="274"/>
      <c r="M79" s="274"/>
      <c r="N79" s="274"/>
      <c r="O79" s="274"/>
      <c r="P79" s="274"/>
      <c r="Q79" s="274"/>
      <c r="R79" s="274"/>
      <c r="S79" s="274"/>
      <c r="T79" s="274"/>
      <c r="U79" s="274"/>
      <c r="V79" s="274"/>
      <c r="W79" s="274"/>
      <c r="X79" s="274"/>
      <c r="Y79" s="274"/>
      <c r="Z79" s="274"/>
      <c r="AA79" s="274"/>
      <c r="AB79" s="274"/>
      <c r="AC79" s="274"/>
      <c r="AD79" s="274"/>
      <c r="AE79" s="274"/>
      <c r="AF79" s="274"/>
      <c r="AG79" s="274"/>
      <c r="AH79" s="274"/>
      <c r="AI79" s="274"/>
      <c r="AJ79" s="274"/>
      <c r="AK79" s="274"/>
      <c r="AL79" s="274"/>
    </row>
    <row r="80" spans="1:38" x14ac:dyDescent="0.3">
      <c r="A80" s="273"/>
      <c r="B80" s="273"/>
      <c r="C80" s="273"/>
      <c r="D80" s="273"/>
      <c r="E80" s="273"/>
      <c r="F80" s="273"/>
      <c r="G80" s="274"/>
      <c r="H80" s="274"/>
      <c r="I80" s="274"/>
      <c r="J80" s="274"/>
      <c r="K80" s="274"/>
      <c r="L80" s="274"/>
      <c r="M80" s="274"/>
      <c r="N80" s="274"/>
      <c r="O80" s="274"/>
      <c r="P80" s="274"/>
      <c r="Q80" s="274"/>
      <c r="R80" s="274"/>
      <c r="S80" s="274"/>
      <c r="T80" s="274"/>
      <c r="U80" s="274"/>
      <c r="V80" s="274"/>
      <c r="W80" s="274"/>
      <c r="X80" s="274"/>
      <c r="Y80" s="274"/>
      <c r="Z80" s="274"/>
      <c r="AA80" s="274"/>
      <c r="AB80" s="274"/>
      <c r="AC80" s="274"/>
      <c r="AD80" s="274"/>
      <c r="AE80" s="274"/>
      <c r="AF80" s="274"/>
      <c r="AG80" s="274"/>
      <c r="AH80" s="274"/>
      <c r="AI80" s="274"/>
      <c r="AJ80" s="274"/>
      <c r="AK80" s="274"/>
      <c r="AL80" s="274"/>
    </row>
    <row r="81" spans="1:38" ht="14.4" customHeight="1" x14ac:dyDescent="0.3">
      <c r="A81" s="273" t="str">
        <f>IF(Dashboard!U26&lt;&gt;"",Dashboard!U26,"")</f>
        <v>Strike Level 4</v>
      </c>
      <c r="B81" s="273"/>
      <c r="C81" s="273"/>
      <c r="D81" s="273"/>
      <c r="E81" s="273"/>
      <c r="F81" s="273"/>
      <c r="G81" s="274" t="str">
        <f>IF(Dashboard!U26&lt;&gt;"",Dashboard!AC26,"")</f>
        <v>Upside stress (options): Above the upper short strike ($500.00), the option overlay can lose value, but the long call helps limit the maximum option loss.  Stock + Options (combined): The option overlay is giving back part of the stock gains (the trade-off for premium/structure). Most of the movement here is coming from the stock position.</v>
      </c>
      <c r="H81" s="274"/>
      <c r="I81" s="274"/>
      <c r="J81" s="274"/>
      <c r="K81" s="274"/>
      <c r="L81" s="274"/>
      <c r="M81" s="274"/>
      <c r="N81" s="274"/>
      <c r="O81" s="274"/>
      <c r="P81" s="274"/>
      <c r="Q81" s="274"/>
      <c r="R81" s="274"/>
      <c r="S81" s="274"/>
      <c r="T81" s="274"/>
      <c r="U81" s="274"/>
      <c r="V81" s="274"/>
      <c r="W81" s="274"/>
      <c r="X81" s="274"/>
      <c r="Y81" s="274"/>
      <c r="Z81" s="274"/>
      <c r="AA81" s="274"/>
      <c r="AB81" s="274"/>
      <c r="AC81" s="274"/>
      <c r="AD81" s="274"/>
      <c r="AE81" s="274"/>
      <c r="AF81" s="274"/>
      <c r="AG81" s="274"/>
      <c r="AH81" s="274"/>
      <c r="AI81" s="274"/>
      <c r="AJ81" s="274"/>
      <c r="AK81" s="274"/>
      <c r="AL81" s="274"/>
    </row>
    <row r="82" spans="1:38" x14ac:dyDescent="0.3">
      <c r="A82" s="273"/>
      <c r="B82" s="273"/>
      <c r="C82" s="273"/>
      <c r="D82" s="273"/>
      <c r="E82" s="273"/>
      <c r="F82" s="273"/>
      <c r="G82" s="274"/>
      <c r="H82" s="274"/>
      <c r="I82" s="274"/>
      <c r="J82" s="274"/>
      <c r="K82" s="274"/>
      <c r="L82" s="274"/>
      <c r="M82" s="274"/>
      <c r="N82" s="274"/>
      <c r="O82" s="274"/>
      <c r="P82" s="274"/>
      <c r="Q82" s="274"/>
      <c r="R82" s="274"/>
      <c r="S82" s="274"/>
      <c r="T82" s="274"/>
      <c r="U82" s="274"/>
      <c r="V82" s="274"/>
      <c r="W82" s="274"/>
      <c r="X82" s="274"/>
      <c r="Y82" s="274"/>
      <c r="Z82" s="274"/>
      <c r="AA82" s="274"/>
      <c r="AB82" s="274"/>
      <c r="AC82" s="274"/>
      <c r="AD82" s="274"/>
      <c r="AE82" s="274"/>
      <c r="AF82" s="274"/>
      <c r="AG82" s="274"/>
      <c r="AH82" s="274"/>
      <c r="AI82" s="274"/>
      <c r="AJ82" s="274"/>
      <c r="AK82" s="274"/>
      <c r="AL82" s="274"/>
    </row>
    <row r="83" spans="1:38" x14ac:dyDescent="0.3">
      <c r="A83" s="273"/>
      <c r="B83" s="273"/>
      <c r="C83" s="273"/>
      <c r="D83" s="273"/>
      <c r="E83" s="273"/>
      <c r="F83" s="273"/>
      <c r="G83" s="274"/>
      <c r="H83" s="274"/>
      <c r="I83" s="274"/>
      <c r="J83" s="274"/>
      <c r="K83" s="274"/>
      <c r="L83" s="274"/>
      <c r="M83" s="274"/>
      <c r="N83" s="274"/>
      <c r="O83" s="274"/>
      <c r="P83" s="274"/>
      <c r="Q83" s="274"/>
      <c r="R83" s="274"/>
      <c r="S83" s="274"/>
      <c r="T83" s="274"/>
      <c r="U83" s="274"/>
      <c r="V83" s="274"/>
      <c r="W83" s="274"/>
      <c r="X83" s="274"/>
      <c r="Y83" s="274"/>
      <c r="Z83" s="274"/>
      <c r="AA83" s="274"/>
      <c r="AB83" s="274"/>
      <c r="AC83" s="274"/>
      <c r="AD83" s="274"/>
      <c r="AE83" s="274"/>
      <c r="AF83" s="274"/>
      <c r="AG83" s="274"/>
      <c r="AH83" s="274"/>
      <c r="AI83" s="274"/>
      <c r="AJ83" s="274"/>
      <c r="AK83" s="274"/>
      <c r="AL83" s="274"/>
    </row>
    <row r="84" spans="1:38" ht="14.4" customHeight="1" x14ac:dyDescent="0.3">
      <c r="A84" s="273" t="str">
        <f>IF(Dashboard!U27&lt;&gt;"",Dashboard!U27,"")</f>
        <v>Stock to Infinity</v>
      </c>
      <c r="B84" s="273"/>
      <c r="C84" s="273"/>
      <c r="D84" s="273"/>
      <c r="E84" s="273"/>
      <c r="F84" s="273"/>
      <c r="G84" s="274" t="str">
        <f>IF(Dashboard!U27&lt;&gt;"",Dashboard!AC27,"")</f>
        <v>Upside stress (options): Above the upper short strike ($500.00), the option overlay can lose value, but the long call helps limit the maximum option loss.  Stock + Options (combined): Upside is not capped; gains can continue to grow as the stock rises.</v>
      </c>
      <c r="H84" s="274"/>
      <c r="I84" s="274"/>
      <c r="J84" s="274"/>
      <c r="K84" s="274"/>
      <c r="L84" s="274"/>
      <c r="M84" s="274"/>
      <c r="N84" s="274"/>
      <c r="O84" s="274"/>
      <c r="P84" s="274"/>
      <c r="Q84" s="274"/>
      <c r="R84" s="274"/>
      <c r="S84" s="274"/>
      <c r="T84" s="274"/>
      <c r="U84" s="274"/>
      <c r="V84" s="274"/>
      <c r="W84" s="274"/>
      <c r="X84" s="274"/>
      <c r="Y84" s="274"/>
      <c r="Z84" s="274"/>
      <c r="AA84" s="274"/>
      <c r="AB84" s="274"/>
      <c r="AC84" s="274"/>
      <c r="AD84" s="274"/>
      <c r="AE84" s="274"/>
      <c r="AF84" s="274"/>
      <c r="AG84" s="274"/>
      <c r="AH84" s="274"/>
      <c r="AI84" s="274"/>
      <c r="AJ84" s="274"/>
      <c r="AK84" s="274"/>
      <c r="AL84" s="274"/>
    </row>
    <row r="85" spans="1:38" x14ac:dyDescent="0.3">
      <c r="A85" s="273"/>
      <c r="B85" s="273"/>
      <c r="C85" s="273"/>
      <c r="D85" s="273"/>
      <c r="E85" s="273"/>
      <c r="F85" s="273"/>
      <c r="G85" s="274"/>
      <c r="H85" s="274"/>
      <c r="I85" s="274"/>
      <c r="J85" s="274"/>
      <c r="K85" s="274"/>
      <c r="L85" s="274"/>
      <c r="M85" s="274"/>
      <c r="N85" s="274"/>
      <c r="O85" s="274"/>
      <c r="P85" s="274"/>
      <c r="Q85" s="274"/>
      <c r="R85" s="274"/>
      <c r="S85" s="274"/>
      <c r="T85" s="274"/>
      <c r="U85" s="274"/>
      <c r="V85" s="274"/>
      <c r="W85" s="274"/>
      <c r="X85" s="274"/>
      <c r="Y85" s="274"/>
      <c r="Z85" s="274"/>
      <c r="AA85" s="274"/>
      <c r="AB85" s="274"/>
      <c r="AC85" s="274"/>
      <c r="AD85" s="274"/>
      <c r="AE85" s="274"/>
      <c r="AF85" s="274"/>
      <c r="AG85" s="274"/>
      <c r="AH85" s="274"/>
      <c r="AI85" s="274"/>
      <c r="AJ85" s="274"/>
      <c r="AK85" s="274"/>
      <c r="AL85" s="274"/>
    </row>
    <row r="86" spans="1:38" x14ac:dyDescent="0.3">
      <c r="A86" s="273"/>
      <c r="B86" s="273"/>
      <c r="C86" s="273"/>
      <c r="D86" s="273"/>
      <c r="E86" s="273"/>
      <c r="F86" s="273"/>
      <c r="G86" s="274"/>
      <c r="H86" s="274"/>
      <c r="I86" s="274"/>
      <c r="J86" s="274"/>
      <c r="K86" s="274"/>
      <c r="L86" s="274"/>
      <c r="M86" s="274"/>
      <c r="N86" s="274"/>
      <c r="O86" s="274"/>
      <c r="P86" s="274"/>
      <c r="Q86" s="274"/>
      <c r="R86" s="274"/>
      <c r="S86" s="274"/>
      <c r="T86" s="274"/>
      <c r="U86" s="274"/>
      <c r="V86" s="274"/>
      <c r="W86" s="274"/>
      <c r="X86" s="274"/>
      <c r="Y86" s="274"/>
      <c r="Z86" s="274"/>
      <c r="AA86" s="274"/>
      <c r="AB86" s="274"/>
      <c r="AC86" s="274"/>
      <c r="AD86" s="274"/>
      <c r="AE86" s="274"/>
      <c r="AF86" s="274"/>
      <c r="AG86" s="274"/>
      <c r="AH86" s="274"/>
      <c r="AI86" s="274"/>
      <c r="AJ86" s="274"/>
      <c r="AK86" s="274"/>
      <c r="AL86" s="274"/>
    </row>
    <row r="87" spans="1:38" x14ac:dyDescent="0.3">
      <c r="A87" s="268"/>
      <c r="B87" s="268"/>
      <c r="C87" s="268"/>
      <c r="D87" s="268"/>
      <c r="E87" s="268"/>
      <c r="F87" s="268"/>
      <c r="G87" s="268"/>
      <c r="H87" s="268"/>
      <c r="I87" s="264"/>
      <c r="J87" s="264"/>
      <c r="K87" s="264"/>
      <c r="L87" s="264"/>
      <c r="M87" s="264"/>
      <c r="N87" s="264"/>
      <c r="O87" s="264"/>
      <c r="P87" s="264"/>
      <c r="Q87" s="264"/>
      <c r="R87" s="264"/>
      <c r="S87" s="264"/>
      <c r="T87" s="264"/>
      <c r="U87" s="264"/>
      <c r="V87" s="264"/>
      <c r="W87" s="264"/>
      <c r="X87" s="264"/>
      <c r="Y87" s="264"/>
      <c r="Z87" s="264"/>
      <c r="AA87" s="264"/>
      <c r="AB87" s="264"/>
      <c r="AC87" s="264"/>
      <c r="AD87" s="264"/>
      <c r="AE87" s="264"/>
      <c r="AF87" s="264"/>
      <c r="AG87" s="264"/>
      <c r="AH87" s="264"/>
      <c r="AI87" s="264"/>
      <c r="AJ87" s="264"/>
      <c r="AK87" s="264"/>
      <c r="AL87" s="264"/>
    </row>
    <row r="88" spans="1:38" x14ac:dyDescent="0.3">
      <c r="B88" s="214"/>
      <c r="C88" s="214"/>
      <c r="D88" s="214"/>
      <c r="E88" s="214"/>
      <c r="F88" s="214"/>
      <c r="G88" s="214"/>
      <c r="H88" s="214"/>
      <c r="I88" s="214"/>
      <c r="J88" s="214"/>
      <c r="K88" s="214"/>
      <c r="L88" s="214"/>
      <c r="M88" s="214"/>
      <c r="N88" s="214"/>
      <c r="O88" s="214"/>
      <c r="P88" s="214"/>
      <c r="Q88" s="214"/>
      <c r="R88" s="214"/>
      <c r="S88" s="214"/>
      <c r="T88" s="214"/>
      <c r="U88" s="214"/>
      <c r="V88" s="214"/>
      <c r="W88" s="214"/>
      <c r="X88" s="214"/>
      <c r="Y88" s="214"/>
      <c r="Z88" s="214"/>
      <c r="AA88" s="9"/>
      <c r="AB88" s="9"/>
      <c r="AC88" s="9"/>
      <c r="AD88" s="9"/>
      <c r="AE88" s="9"/>
      <c r="AF88" s="9"/>
      <c r="AG88" s="9"/>
      <c r="AH88" s="9"/>
      <c r="AI88" s="9"/>
      <c r="AJ88" s="9"/>
      <c r="AK88" s="9"/>
      <c r="AL88" s="9"/>
    </row>
    <row r="89" spans="1:38" x14ac:dyDescent="0.3">
      <c r="A89" s="219" t="s">
        <v>1383</v>
      </c>
      <c r="B89" s="219"/>
      <c r="C89" s="219"/>
      <c r="D89" s="219"/>
      <c r="E89" s="219"/>
      <c r="F89" s="219"/>
      <c r="G89" s="219"/>
      <c r="H89" s="219"/>
      <c r="I89" s="219"/>
      <c r="J89" s="219"/>
      <c r="K89" s="219"/>
      <c r="L89" s="219"/>
      <c r="M89" s="219"/>
      <c r="N89" s="214"/>
      <c r="O89" s="214"/>
      <c r="P89" s="214"/>
      <c r="Q89" s="214"/>
      <c r="R89" s="214"/>
      <c r="S89" s="214"/>
      <c r="T89" s="214"/>
      <c r="U89" s="214"/>
      <c r="V89" s="214"/>
      <c r="W89" s="214"/>
      <c r="X89" s="214"/>
      <c r="Y89" s="214"/>
      <c r="Z89" s="214"/>
      <c r="AA89" s="9"/>
      <c r="AB89" s="9"/>
      <c r="AC89" s="9"/>
      <c r="AD89" s="9"/>
      <c r="AE89" s="9"/>
      <c r="AF89" s="9"/>
      <c r="AG89" s="9"/>
      <c r="AH89" s="9"/>
      <c r="AI89" s="9"/>
      <c r="AJ89" s="9"/>
      <c r="AK89" s="9"/>
      <c r="AL89" s="9"/>
    </row>
    <row r="90" spans="1:38" x14ac:dyDescent="0.3">
      <c r="A90" s="219"/>
      <c r="B90" s="219"/>
      <c r="C90" s="219"/>
      <c r="D90" s="219"/>
      <c r="E90" s="219"/>
      <c r="F90" s="219"/>
      <c r="G90" s="219"/>
      <c r="H90" s="219"/>
      <c r="I90" s="219"/>
      <c r="J90" s="219"/>
      <c r="K90" s="219"/>
      <c r="L90" s="219"/>
      <c r="M90" s="219"/>
      <c r="N90" s="214"/>
      <c r="O90" s="214"/>
      <c r="P90" s="214"/>
      <c r="Q90" s="214"/>
      <c r="R90" s="214"/>
      <c r="S90" s="214"/>
      <c r="T90" s="214"/>
      <c r="U90" s="214"/>
      <c r="V90" s="214"/>
      <c r="W90" s="214"/>
      <c r="X90" s="214"/>
      <c r="Y90" s="214"/>
      <c r="Z90" s="214"/>
      <c r="AA90" s="9"/>
      <c r="AB90" s="9"/>
      <c r="AC90" s="9"/>
      <c r="AD90" s="9"/>
      <c r="AE90" s="9"/>
      <c r="AF90" s="9"/>
      <c r="AG90" s="9"/>
      <c r="AH90" s="9"/>
      <c r="AI90" s="9"/>
      <c r="AJ90" s="9"/>
      <c r="AK90" s="9"/>
      <c r="AL90" s="9"/>
    </row>
    <row r="91" spans="1:38" ht="14.4" customHeight="1" x14ac:dyDescent="0.3">
      <c r="A91" s="267" t="s">
        <v>1387</v>
      </c>
      <c r="B91" s="267"/>
      <c r="C91" s="267"/>
      <c r="D91" s="267"/>
      <c r="E91" s="267"/>
      <c r="F91" s="267"/>
      <c r="G91" s="267"/>
      <c r="H91" s="267"/>
      <c r="I91" s="267"/>
      <c r="J91" s="267"/>
      <c r="K91" s="267"/>
      <c r="L91" s="267"/>
      <c r="M91" s="267"/>
      <c r="N91" s="267"/>
      <c r="O91" s="267"/>
      <c r="P91" s="267"/>
      <c r="Q91" s="267"/>
      <c r="R91" s="267"/>
      <c r="S91" s="267"/>
      <c r="T91" s="267"/>
      <c r="U91" s="267"/>
      <c r="V91" s="267"/>
      <c r="W91" s="267"/>
      <c r="X91" s="267"/>
      <c r="Y91" s="267"/>
      <c r="Z91" s="267"/>
      <c r="AA91" s="267"/>
      <c r="AB91" s="267"/>
      <c r="AC91" s="267"/>
      <c r="AD91" s="267"/>
      <c r="AE91" s="267"/>
      <c r="AF91" s="267"/>
      <c r="AG91" s="267"/>
      <c r="AH91" s="267"/>
      <c r="AI91" s="267"/>
      <c r="AJ91" s="267"/>
      <c r="AK91" s="267"/>
      <c r="AL91" s="267"/>
    </row>
    <row r="92" spans="1:38" x14ac:dyDescent="0.3">
      <c r="A92" s="267"/>
      <c r="B92" s="267"/>
      <c r="C92" s="267"/>
      <c r="D92" s="267"/>
      <c r="E92" s="267"/>
      <c r="F92" s="267"/>
      <c r="G92" s="267"/>
      <c r="H92" s="267"/>
      <c r="I92" s="267"/>
      <c r="J92" s="267"/>
      <c r="K92" s="267"/>
      <c r="L92" s="267"/>
      <c r="M92" s="267"/>
      <c r="N92" s="267"/>
      <c r="O92" s="267"/>
      <c r="P92" s="267"/>
      <c r="Q92" s="267"/>
      <c r="R92" s="267"/>
      <c r="S92" s="267"/>
      <c r="T92" s="267"/>
      <c r="U92" s="267"/>
      <c r="V92" s="267"/>
      <c r="W92" s="267"/>
      <c r="X92" s="267"/>
      <c r="Y92" s="267"/>
      <c r="Z92" s="267"/>
      <c r="AA92" s="267"/>
      <c r="AB92" s="267"/>
      <c r="AC92" s="267"/>
      <c r="AD92" s="267"/>
      <c r="AE92" s="267"/>
      <c r="AF92" s="267"/>
      <c r="AG92" s="267"/>
      <c r="AH92" s="267"/>
      <c r="AI92" s="267"/>
      <c r="AJ92" s="267"/>
      <c r="AK92" s="267"/>
      <c r="AL92" s="267"/>
    </row>
    <row r="93" spans="1:38" x14ac:dyDescent="0.3">
      <c r="A93" s="267"/>
      <c r="B93" s="267"/>
      <c r="C93" s="267"/>
      <c r="D93" s="267"/>
      <c r="E93" s="267"/>
      <c r="F93" s="267"/>
      <c r="G93" s="267"/>
      <c r="H93" s="267"/>
      <c r="I93" s="267"/>
      <c r="J93" s="267"/>
      <c r="K93" s="267"/>
      <c r="L93" s="267"/>
      <c r="M93" s="267"/>
      <c r="N93" s="267"/>
      <c r="O93" s="267"/>
      <c r="P93" s="267"/>
      <c r="Q93" s="267"/>
      <c r="R93" s="267"/>
      <c r="S93" s="267"/>
      <c r="T93" s="267"/>
      <c r="U93" s="267"/>
      <c r="V93" s="267"/>
      <c r="W93" s="267"/>
      <c r="X93" s="267"/>
      <c r="Y93" s="267"/>
      <c r="Z93" s="267"/>
      <c r="AA93" s="267"/>
      <c r="AB93" s="267"/>
      <c r="AC93" s="267"/>
      <c r="AD93" s="267"/>
      <c r="AE93" s="267"/>
      <c r="AF93" s="267"/>
      <c r="AG93" s="267"/>
      <c r="AH93" s="267"/>
      <c r="AI93" s="267"/>
      <c r="AJ93" s="267"/>
      <c r="AK93" s="267"/>
      <c r="AL93" s="267"/>
    </row>
    <row r="94" spans="1:38" x14ac:dyDescent="0.3">
      <c r="A94" s="267"/>
      <c r="B94" s="267"/>
      <c r="C94" s="267"/>
      <c r="D94" s="267"/>
      <c r="E94" s="267"/>
      <c r="F94" s="267"/>
      <c r="G94" s="267"/>
      <c r="H94" s="267"/>
      <c r="I94" s="267"/>
      <c r="J94" s="267"/>
      <c r="K94" s="267"/>
      <c r="L94" s="267"/>
      <c r="M94" s="267"/>
      <c r="N94" s="267"/>
      <c r="O94" s="267"/>
      <c r="P94" s="267"/>
      <c r="Q94" s="267"/>
      <c r="R94" s="267"/>
      <c r="S94" s="267"/>
      <c r="T94" s="267"/>
      <c r="U94" s="267"/>
      <c r="V94" s="267"/>
      <c r="W94" s="267"/>
      <c r="X94" s="267"/>
      <c r="Y94" s="267"/>
      <c r="Z94" s="267"/>
      <c r="AA94" s="267"/>
      <c r="AB94" s="267"/>
      <c r="AC94" s="267"/>
      <c r="AD94" s="267"/>
      <c r="AE94" s="267"/>
      <c r="AF94" s="267"/>
      <c r="AG94" s="267"/>
      <c r="AH94" s="267"/>
      <c r="AI94" s="267"/>
      <c r="AJ94" s="267"/>
      <c r="AK94" s="267"/>
      <c r="AL94" s="267"/>
    </row>
    <row r="95" spans="1:38" x14ac:dyDescent="0.3">
      <c r="A95" s="267"/>
      <c r="B95" s="267"/>
      <c r="C95" s="267"/>
      <c r="D95" s="267"/>
      <c r="E95" s="267"/>
      <c r="F95" s="267"/>
      <c r="G95" s="267"/>
      <c r="H95" s="267"/>
      <c r="I95" s="267"/>
      <c r="J95" s="267"/>
      <c r="K95" s="267"/>
      <c r="L95" s="267"/>
      <c r="M95" s="267"/>
      <c r="N95" s="267"/>
      <c r="O95" s="267"/>
      <c r="P95" s="267"/>
      <c r="Q95" s="267"/>
      <c r="R95" s="267"/>
      <c r="S95" s="267"/>
      <c r="T95" s="267"/>
      <c r="U95" s="267"/>
      <c r="V95" s="267"/>
      <c r="W95" s="267"/>
      <c r="X95" s="267"/>
      <c r="Y95" s="267"/>
      <c r="Z95" s="267"/>
      <c r="AA95" s="267"/>
      <c r="AB95" s="267"/>
      <c r="AC95" s="267"/>
      <c r="AD95" s="267"/>
      <c r="AE95" s="267"/>
      <c r="AF95" s="267"/>
      <c r="AG95" s="267"/>
      <c r="AH95" s="267"/>
      <c r="AI95" s="267"/>
      <c r="AJ95" s="267"/>
      <c r="AK95" s="267"/>
      <c r="AL95" s="267"/>
    </row>
    <row r="96" spans="1:38" x14ac:dyDescent="0.3">
      <c r="A96" s="267"/>
      <c r="B96" s="267"/>
      <c r="C96" s="267"/>
      <c r="D96" s="267"/>
      <c r="E96" s="267"/>
      <c r="F96" s="267"/>
      <c r="G96" s="267"/>
      <c r="H96" s="267"/>
      <c r="I96" s="267"/>
      <c r="J96" s="267"/>
      <c r="K96" s="267"/>
      <c r="L96" s="267"/>
      <c r="M96" s="267"/>
      <c r="N96" s="267"/>
      <c r="O96" s="267"/>
      <c r="P96" s="267"/>
      <c r="Q96" s="267"/>
      <c r="R96" s="267"/>
      <c r="S96" s="267"/>
      <c r="T96" s="267"/>
      <c r="U96" s="267"/>
      <c r="V96" s="267"/>
      <c r="W96" s="267"/>
      <c r="X96" s="267"/>
      <c r="Y96" s="267"/>
      <c r="Z96" s="267"/>
      <c r="AA96" s="267"/>
      <c r="AB96" s="267"/>
      <c r="AC96" s="267"/>
      <c r="AD96" s="267"/>
      <c r="AE96" s="267"/>
      <c r="AF96" s="267"/>
      <c r="AG96" s="267"/>
      <c r="AH96" s="267"/>
      <c r="AI96" s="267"/>
      <c r="AJ96" s="267"/>
      <c r="AK96" s="267"/>
      <c r="AL96" s="267"/>
    </row>
    <row r="97" spans="1:38" x14ac:dyDescent="0.3">
      <c r="A97" s="267"/>
      <c r="B97" s="267"/>
      <c r="C97" s="267"/>
      <c r="D97" s="267"/>
      <c r="E97" s="267"/>
      <c r="F97" s="267"/>
      <c r="G97" s="267"/>
      <c r="H97" s="267"/>
      <c r="I97" s="267"/>
      <c r="J97" s="267"/>
      <c r="K97" s="267"/>
      <c r="L97" s="267"/>
      <c r="M97" s="267"/>
      <c r="N97" s="267"/>
      <c r="O97" s="267"/>
      <c r="P97" s="267"/>
      <c r="Q97" s="267"/>
      <c r="R97" s="267"/>
      <c r="S97" s="267"/>
      <c r="T97" s="267"/>
      <c r="U97" s="267"/>
      <c r="V97" s="267"/>
      <c r="W97" s="267"/>
      <c r="X97" s="267"/>
      <c r="Y97" s="267"/>
      <c r="Z97" s="267"/>
      <c r="AA97" s="267"/>
      <c r="AB97" s="267"/>
      <c r="AC97" s="267"/>
      <c r="AD97" s="267"/>
      <c r="AE97" s="267"/>
      <c r="AF97" s="267"/>
      <c r="AG97" s="267"/>
      <c r="AH97" s="267"/>
      <c r="AI97" s="267"/>
      <c r="AJ97" s="267"/>
      <c r="AK97" s="267"/>
      <c r="AL97" s="267"/>
    </row>
    <row r="98" spans="1:38" x14ac:dyDescent="0.3">
      <c r="A98" s="267"/>
      <c r="B98" s="267"/>
      <c r="C98" s="267"/>
      <c r="D98" s="267"/>
      <c r="E98" s="267"/>
      <c r="F98" s="267"/>
      <c r="G98" s="267"/>
      <c r="H98" s="267"/>
      <c r="I98" s="267"/>
      <c r="J98" s="267"/>
      <c r="K98" s="267"/>
      <c r="L98" s="267"/>
      <c r="M98" s="267"/>
      <c r="N98" s="267"/>
      <c r="O98" s="267"/>
      <c r="P98" s="267"/>
      <c r="Q98" s="267"/>
      <c r="R98" s="267"/>
      <c r="S98" s="267"/>
      <c r="T98" s="267"/>
      <c r="U98" s="267"/>
      <c r="V98" s="267"/>
      <c r="W98" s="267"/>
      <c r="X98" s="267"/>
      <c r="Y98" s="267"/>
      <c r="Z98" s="267"/>
      <c r="AA98" s="267"/>
      <c r="AB98" s="267"/>
      <c r="AC98" s="267"/>
      <c r="AD98" s="267"/>
      <c r="AE98" s="267"/>
      <c r="AF98" s="267"/>
      <c r="AG98" s="267"/>
      <c r="AH98" s="267"/>
      <c r="AI98" s="267"/>
      <c r="AJ98" s="267"/>
      <c r="AK98" s="267"/>
      <c r="AL98" s="267"/>
    </row>
    <row r="99" spans="1:38" x14ac:dyDescent="0.3">
      <c r="A99" s="267"/>
      <c r="B99" s="267"/>
      <c r="C99" s="267"/>
      <c r="D99" s="267"/>
      <c r="E99" s="267"/>
      <c r="F99" s="267"/>
      <c r="G99" s="267"/>
      <c r="H99" s="267"/>
      <c r="I99" s="267"/>
      <c r="J99" s="267"/>
      <c r="K99" s="267"/>
      <c r="L99" s="267"/>
      <c r="M99" s="267"/>
      <c r="N99" s="267"/>
      <c r="O99" s="267"/>
      <c r="P99" s="267"/>
      <c r="Q99" s="267"/>
      <c r="R99" s="267"/>
      <c r="S99" s="267"/>
      <c r="T99" s="267"/>
      <c r="U99" s="267"/>
      <c r="V99" s="267"/>
      <c r="W99" s="267"/>
      <c r="X99" s="267"/>
      <c r="Y99" s="267"/>
      <c r="Z99" s="267"/>
      <c r="AA99" s="267"/>
      <c r="AB99" s="267"/>
      <c r="AC99" s="267"/>
      <c r="AD99" s="267"/>
      <c r="AE99" s="267"/>
      <c r="AF99" s="267"/>
      <c r="AG99" s="267"/>
      <c r="AH99" s="267"/>
      <c r="AI99" s="267"/>
      <c r="AJ99" s="267"/>
      <c r="AK99" s="267"/>
      <c r="AL99" s="267"/>
    </row>
    <row r="100" spans="1:38" x14ac:dyDescent="0.3">
      <c r="A100" s="267"/>
      <c r="B100" s="267"/>
      <c r="C100" s="267"/>
      <c r="D100" s="267"/>
      <c r="E100" s="267"/>
      <c r="F100" s="267"/>
      <c r="G100" s="267"/>
      <c r="H100" s="267"/>
      <c r="I100" s="267"/>
      <c r="J100" s="267"/>
      <c r="K100" s="267"/>
      <c r="L100" s="267"/>
      <c r="M100" s="267"/>
      <c r="N100" s="267"/>
      <c r="O100" s="267"/>
      <c r="P100" s="267"/>
      <c r="Q100" s="267"/>
      <c r="R100" s="267"/>
      <c r="S100" s="267"/>
      <c r="T100" s="267"/>
      <c r="U100" s="267"/>
      <c r="V100" s="267"/>
      <c r="W100" s="267"/>
      <c r="X100" s="267"/>
      <c r="Y100" s="267"/>
      <c r="Z100" s="267"/>
      <c r="AA100" s="267"/>
      <c r="AB100" s="267"/>
      <c r="AC100" s="267"/>
      <c r="AD100" s="267"/>
      <c r="AE100" s="267"/>
      <c r="AF100" s="267"/>
      <c r="AG100" s="267"/>
      <c r="AH100" s="267"/>
      <c r="AI100" s="267"/>
      <c r="AJ100" s="267"/>
      <c r="AK100" s="267"/>
      <c r="AL100" s="267"/>
    </row>
    <row r="101" spans="1:38" x14ac:dyDescent="0.3">
      <c r="A101" s="267"/>
      <c r="B101" s="267"/>
      <c r="C101" s="267"/>
      <c r="D101" s="267"/>
      <c r="E101" s="267"/>
      <c r="F101" s="267"/>
      <c r="G101" s="267"/>
      <c r="H101" s="267"/>
      <c r="I101" s="267"/>
      <c r="J101" s="267"/>
      <c r="K101" s="267"/>
      <c r="L101" s="267"/>
      <c r="M101" s="267"/>
      <c r="N101" s="267"/>
      <c r="O101" s="267"/>
      <c r="P101" s="267"/>
      <c r="Q101" s="267"/>
      <c r="R101" s="267"/>
      <c r="S101" s="267"/>
      <c r="T101" s="267"/>
      <c r="U101" s="267"/>
      <c r="V101" s="267"/>
      <c r="W101" s="267"/>
      <c r="X101" s="267"/>
      <c r="Y101" s="267"/>
      <c r="Z101" s="267"/>
      <c r="AA101" s="267"/>
      <c r="AB101" s="267"/>
      <c r="AC101" s="267"/>
      <c r="AD101" s="267"/>
      <c r="AE101" s="267"/>
      <c r="AF101" s="267"/>
      <c r="AG101" s="267"/>
      <c r="AH101" s="267"/>
      <c r="AI101" s="267"/>
      <c r="AJ101" s="267"/>
      <c r="AK101" s="267"/>
      <c r="AL101" s="267"/>
    </row>
    <row r="102" spans="1:38" x14ac:dyDescent="0.3">
      <c r="A102" s="267"/>
      <c r="B102" s="267"/>
      <c r="C102" s="267"/>
      <c r="D102" s="267"/>
      <c r="E102" s="267"/>
      <c r="F102" s="267"/>
      <c r="G102" s="267"/>
      <c r="H102" s="267"/>
      <c r="I102" s="267"/>
      <c r="J102" s="267"/>
      <c r="K102" s="267"/>
      <c r="L102" s="267"/>
      <c r="M102" s="267"/>
      <c r="N102" s="267"/>
      <c r="O102" s="267"/>
      <c r="P102" s="267"/>
      <c r="Q102" s="267"/>
      <c r="R102" s="267"/>
      <c r="S102" s="267"/>
      <c r="T102" s="267"/>
      <c r="U102" s="267"/>
      <c r="V102" s="267"/>
      <c r="W102" s="267"/>
      <c r="X102" s="267"/>
      <c r="Y102" s="267"/>
      <c r="Z102" s="267"/>
      <c r="AA102" s="267"/>
      <c r="AB102" s="267"/>
      <c r="AC102" s="267"/>
      <c r="AD102" s="267"/>
      <c r="AE102" s="267"/>
      <c r="AF102" s="267"/>
      <c r="AG102" s="267"/>
      <c r="AH102" s="267"/>
      <c r="AI102" s="267"/>
      <c r="AJ102" s="267"/>
      <c r="AK102" s="267"/>
      <c r="AL102" s="267"/>
    </row>
    <row r="103" spans="1:38" x14ac:dyDescent="0.3">
      <c r="A103" s="267"/>
      <c r="B103" s="267"/>
      <c r="C103" s="267"/>
      <c r="D103" s="267"/>
      <c r="E103" s="267"/>
      <c r="F103" s="267"/>
      <c r="G103" s="267"/>
      <c r="H103" s="267"/>
      <c r="I103" s="267"/>
      <c r="J103" s="267"/>
      <c r="K103" s="267"/>
      <c r="L103" s="267"/>
      <c r="M103" s="267"/>
      <c r="N103" s="267"/>
      <c r="O103" s="267"/>
      <c r="P103" s="267"/>
      <c r="Q103" s="267"/>
      <c r="R103" s="267"/>
      <c r="S103" s="267"/>
      <c r="T103" s="267"/>
      <c r="U103" s="267"/>
      <c r="V103" s="267"/>
      <c r="W103" s="267"/>
      <c r="X103" s="267"/>
      <c r="Y103" s="267"/>
      <c r="Z103" s="267"/>
      <c r="AA103" s="267"/>
      <c r="AB103" s="267"/>
      <c r="AC103" s="267"/>
      <c r="AD103" s="267"/>
      <c r="AE103" s="267"/>
      <c r="AF103" s="267"/>
      <c r="AG103" s="267"/>
      <c r="AH103" s="267"/>
      <c r="AI103" s="267"/>
      <c r="AJ103" s="267"/>
      <c r="AK103" s="267"/>
      <c r="AL103" s="267"/>
    </row>
    <row r="104" spans="1:38" x14ac:dyDescent="0.3">
      <c r="A104" s="267"/>
      <c r="B104" s="267"/>
      <c r="C104" s="267"/>
      <c r="D104" s="267"/>
      <c r="E104" s="267"/>
      <c r="F104" s="267"/>
      <c r="G104" s="267"/>
      <c r="H104" s="267"/>
      <c r="I104" s="267"/>
      <c r="J104" s="267"/>
      <c r="K104" s="267"/>
      <c r="L104" s="267"/>
      <c r="M104" s="267"/>
      <c r="N104" s="267"/>
      <c r="O104" s="267"/>
      <c r="P104" s="267"/>
      <c r="Q104" s="267"/>
      <c r="R104" s="267"/>
      <c r="S104" s="267"/>
      <c r="T104" s="267"/>
      <c r="U104" s="267"/>
      <c r="V104" s="267"/>
      <c r="W104" s="267"/>
      <c r="X104" s="267"/>
      <c r="Y104" s="267"/>
      <c r="Z104" s="267"/>
      <c r="AA104" s="267"/>
      <c r="AB104" s="267"/>
      <c r="AC104" s="267"/>
      <c r="AD104" s="267"/>
      <c r="AE104" s="267"/>
      <c r="AF104" s="267"/>
      <c r="AG104" s="267"/>
      <c r="AH104" s="267"/>
      <c r="AI104" s="267"/>
      <c r="AJ104" s="267"/>
      <c r="AK104" s="267"/>
      <c r="AL104" s="267"/>
    </row>
    <row r="105" spans="1:38" x14ac:dyDescent="0.3">
      <c r="A105" s="267"/>
      <c r="B105" s="267"/>
      <c r="C105" s="267"/>
      <c r="D105" s="267"/>
      <c r="E105" s="267"/>
      <c r="F105" s="267"/>
      <c r="G105" s="267"/>
      <c r="H105" s="267"/>
      <c r="I105" s="267"/>
      <c r="J105" s="267"/>
      <c r="K105" s="267"/>
      <c r="L105" s="267"/>
      <c r="M105" s="267"/>
      <c r="N105" s="267"/>
      <c r="O105" s="267"/>
      <c r="P105" s="267"/>
      <c r="Q105" s="267"/>
      <c r="R105" s="267"/>
      <c r="S105" s="267"/>
      <c r="T105" s="267"/>
      <c r="U105" s="267"/>
      <c r="V105" s="267"/>
      <c r="W105" s="267"/>
      <c r="X105" s="267"/>
      <c r="Y105" s="267"/>
      <c r="Z105" s="267"/>
      <c r="AA105" s="267"/>
      <c r="AB105" s="267"/>
      <c r="AC105" s="267"/>
      <c r="AD105" s="267"/>
      <c r="AE105" s="267"/>
      <c r="AF105" s="267"/>
      <c r="AG105" s="267"/>
      <c r="AH105" s="267"/>
      <c r="AI105" s="267"/>
      <c r="AJ105" s="267"/>
      <c r="AK105" s="267"/>
      <c r="AL105" s="267"/>
    </row>
    <row r="106" spans="1:38" x14ac:dyDescent="0.3">
      <c r="A106" s="267"/>
      <c r="B106" s="267"/>
      <c r="C106" s="267"/>
      <c r="D106" s="267"/>
      <c r="E106" s="267"/>
      <c r="F106" s="267"/>
      <c r="G106" s="267"/>
      <c r="H106" s="267"/>
      <c r="I106" s="267"/>
      <c r="J106" s="267"/>
      <c r="K106" s="267"/>
      <c r="L106" s="267"/>
      <c r="M106" s="267"/>
      <c r="N106" s="267"/>
      <c r="O106" s="267"/>
      <c r="P106" s="267"/>
      <c r="Q106" s="267"/>
      <c r="R106" s="267"/>
      <c r="S106" s="267"/>
      <c r="T106" s="267"/>
      <c r="U106" s="267"/>
      <c r="V106" s="267"/>
      <c r="W106" s="267"/>
      <c r="X106" s="267"/>
      <c r="Y106" s="267"/>
      <c r="Z106" s="267"/>
      <c r="AA106" s="267"/>
      <c r="AB106" s="267"/>
      <c r="AC106" s="267"/>
      <c r="AD106" s="267"/>
      <c r="AE106" s="267"/>
      <c r="AF106" s="267"/>
      <c r="AG106" s="267"/>
      <c r="AH106" s="267"/>
      <c r="AI106" s="267"/>
      <c r="AJ106" s="267"/>
      <c r="AK106" s="267"/>
      <c r="AL106" s="267"/>
    </row>
    <row r="107" spans="1:38" x14ac:dyDescent="0.3">
      <c r="A107" s="267"/>
      <c r="B107" s="267"/>
      <c r="C107" s="267"/>
      <c r="D107" s="267"/>
      <c r="E107" s="267"/>
      <c r="F107" s="267"/>
      <c r="G107" s="267"/>
      <c r="H107" s="267"/>
      <c r="I107" s="267"/>
      <c r="J107" s="267"/>
      <c r="K107" s="267"/>
      <c r="L107" s="267"/>
      <c r="M107" s="267"/>
      <c r="N107" s="267"/>
      <c r="O107" s="267"/>
      <c r="P107" s="267"/>
      <c r="Q107" s="267"/>
      <c r="R107" s="267"/>
      <c r="S107" s="267"/>
      <c r="T107" s="267"/>
      <c r="U107" s="267"/>
      <c r="V107" s="267"/>
      <c r="W107" s="267"/>
      <c r="X107" s="267"/>
      <c r="Y107" s="267"/>
      <c r="Z107" s="267"/>
      <c r="AA107" s="267"/>
      <c r="AB107" s="267"/>
      <c r="AC107" s="267"/>
      <c r="AD107" s="267"/>
      <c r="AE107" s="267"/>
      <c r="AF107" s="267"/>
      <c r="AG107" s="267"/>
      <c r="AH107" s="267"/>
      <c r="AI107" s="267"/>
      <c r="AJ107" s="267"/>
      <c r="AK107" s="267"/>
      <c r="AL107" s="267"/>
    </row>
    <row r="108" spans="1:38" x14ac:dyDescent="0.3">
      <c r="A108" s="267"/>
      <c r="B108" s="267"/>
      <c r="C108" s="267"/>
      <c r="D108" s="267"/>
      <c r="E108" s="267"/>
      <c r="F108" s="267"/>
      <c r="G108" s="267"/>
      <c r="H108" s="267"/>
      <c r="I108" s="267"/>
      <c r="J108" s="267"/>
      <c r="K108" s="267"/>
      <c r="L108" s="267"/>
      <c r="M108" s="267"/>
      <c r="N108" s="267"/>
      <c r="O108" s="267"/>
      <c r="P108" s="267"/>
      <c r="Q108" s="267"/>
      <c r="R108" s="267"/>
      <c r="S108" s="267"/>
      <c r="T108" s="267"/>
      <c r="U108" s="267"/>
      <c r="V108" s="267"/>
      <c r="W108" s="267"/>
      <c r="X108" s="267"/>
      <c r="Y108" s="267"/>
      <c r="Z108" s="267"/>
      <c r="AA108" s="267"/>
      <c r="AB108" s="267"/>
      <c r="AC108" s="267"/>
      <c r="AD108" s="267"/>
      <c r="AE108" s="267"/>
      <c r="AF108" s="267"/>
      <c r="AG108" s="267"/>
      <c r="AH108" s="267"/>
      <c r="AI108" s="267"/>
      <c r="AJ108" s="267"/>
      <c r="AK108" s="267"/>
      <c r="AL108" s="267"/>
    </row>
    <row r="109" spans="1:38" x14ac:dyDescent="0.3">
      <c r="A109" s="267"/>
      <c r="B109" s="267"/>
      <c r="C109" s="267"/>
      <c r="D109" s="267"/>
      <c r="E109" s="267"/>
      <c r="F109" s="267"/>
      <c r="G109" s="267"/>
      <c r="H109" s="267"/>
      <c r="I109" s="267"/>
      <c r="J109" s="267"/>
      <c r="K109" s="267"/>
      <c r="L109" s="267"/>
      <c r="M109" s="267"/>
      <c r="N109" s="267"/>
      <c r="O109" s="267"/>
      <c r="P109" s="267"/>
      <c r="Q109" s="267"/>
      <c r="R109" s="267"/>
      <c r="S109" s="267"/>
      <c r="T109" s="267"/>
      <c r="U109" s="267"/>
      <c r="V109" s="267"/>
      <c r="W109" s="267"/>
      <c r="X109" s="267"/>
      <c r="Y109" s="267"/>
      <c r="Z109" s="267"/>
      <c r="AA109" s="267"/>
      <c r="AB109" s="267"/>
      <c r="AC109" s="267"/>
      <c r="AD109" s="267"/>
      <c r="AE109" s="267"/>
      <c r="AF109" s="267"/>
      <c r="AG109" s="267"/>
      <c r="AH109" s="267"/>
      <c r="AI109" s="267"/>
      <c r="AJ109" s="267"/>
      <c r="AK109" s="267"/>
      <c r="AL109" s="267"/>
    </row>
    <row r="110" spans="1:38" x14ac:dyDescent="0.3">
      <c r="A110" s="267"/>
      <c r="B110" s="267"/>
      <c r="C110" s="267"/>
      <c r="D110" s="267"/>
      <c r="E110" s="267"/>
      <c r="F110" s="267"/>
      <c r="G110" s="267"/>
      <c r="H110" s="267"/>
      <c r="I110" s="267"/>
      <c r="J110" s="267"/>
      <c r="K110" s="267"/>
      <c r="L110" s="267"/>
      <c r="M110" s="267"/>
      <c r="N110" s="267"/>
      <c r="O110" s="267"/>
      <c r="P110" s="267"/>
      <c r="Q110" s="267"/>
      <c r="R110" s="267"/>
      <c r="S110" s="267"/>
      <c r="T110" s="267"/>
      <c r="U110" s="267"/>
      <c r="V110" s="267"/>
      <c r="W110" s="267"/>
      <c r="X110" s="267"/>
      <c r="Y110" s="267"/>
      <c r="Z110" s="267"/>
      <c r="AA110" s="267"/>
      <c r="AB110" s="267"/>
      <c r="AC110" s="267"/>
      <c r="AD110" s="267"/>
      <c r="AE110" s="267"/>
      <c r="AF110" s="267"/>
      <c r="AG110" s="267"/>
      <c r="AH110" s="267"/>
      <c r="AI110" s="267"/>
      <c r="AJ110" s="267"/>
      <c r="AK110" s="267"/>
      <c r="AL110" s="267"/>
    </row>
    <row r="111" spans="1:38" x14ac:dyDescent="0.3">
      <c r="A111" s="267"/>
      <c r="B111" s="267"/>
      <c r="C111" s="267"/>
      <c r="D111" s="267"/>
      <c r="E111" s="267"/>
      <c r="F111" s="267"/>
      <c r="G111" s="267"/>
      <c r="H111" s="267"/>
      <c r="I111" s="267"/>
      <c r="J111" s="267"/>
      <c r="K111" s="267"/>
      <c r="L111" s="267"/>
      <c r="M111" s="267"/>
      <c r="N111" s="267"/>
      <c r="O111" s="267"/>
      <c r="P111" s="267"/>
      <c r="Q111" s="267"/>
      <c r="R111" s="267"/>
      <c r="S111" s="267"/>
      <c r="T111" s="267"/>
      <c r="U111" s="267"/>
      <c r="V111" s="267"/>
      <c r="W111" s="267"/>
      <c r="X111" s="267"/>
      <c r="Y111" s="267"/>
      <c r="Z111" s="267"/>
      <c r="AA111" s="267"/>
      <c r="AB111" s="267"/>
      <c r="AC111" s="267"/>
      <c r="AD111" s="267"/>
      <c r="AE111" s="267"/>
      <c r="AF111" s="267"/>
      <c r="AG111" s="267"/>
      <c r="AH111" s="267"/>
      <c r="AI111" s="267"/>
      <c r="AJ111" s="267"/>
      <c r="AK111" s="267"/>
      <c r="AL111" s="267"/>
    </row>
    <row r="112" spans="1:38" x14ac:dyDescent="0.3">
      <c r="A112" s="267"/>
      <c r="B112" s="267"/>
      <c r="C112" s="267"/>
      <c r="D112" s="267"/>
      <c r="E112" s="267"/>
      <c r="F112" s="267"/>
      <c r="G112" s="267"/>
      <c r="H112" s="267"/>
      <c r="I112" s="267"/>
      <c r="J112" s="267"/>
      <c r="K112" s="267"/>
      <c r="L112" s="267"/>
      <c r="M112" s="267"/>
      <c r="N112" s="267"/>
      <c r="O112" s="267"/>
      <c r="P112" s="267"/>
      <c r="Q112" s="267"/>
      <c r="R112" s="267"/>
      <c r="S112" s="267"/>
      <c r="T112" s="267"/>
      <c r="U112" s="267"/>
      <c r="V112" s="267"/>
      <c r="W112" s="267"/>
      <c r="X112" s="267"/>
      <c r="Y112" s="267"/>
      <c r="Z112" s="267"/>
      <c r="AA112" s="267"/>
      <c r="AB112" s="267"/>
      <c r="AC112" s="267"/>
      <c r="AD112" s="267"/>
      <c r="AE112" s="267"/>
      <c r="AF112" s="267"/>
      <c r="AG112" s="267"/>
      <c r="AH112" s="267"/>
      <c r="AI112" s="267"/>
      <c r="AJ112" s="267"/>
      <c r="AK112" s="267"/>
      <c r="AL112" s="267"/>
    </row>
    <row r="113" spans="1:38" x14ac:dyDescent="0.3">
      <c r="A113" s="267"/>
      <c r="B113" s="267"/>
      <c r="C113" s="267"/>
      <c r="D113" s="267"/>
      <c r="E113" s="267"/>
      <c r="F113" s="267"/>
      <c r="G113" s="267"/>
      <c r="H113" s="267"/>
      <c r="I113" s="267"/>
      <c r="J113" s="267"/>
      <c r="K113" s="267"/>
      <c r="L113" s="267"/>
      <c r="M113" s="267"/>
      <c r="N113" s="267"/>
      <c r="O113" s="267"/>
      <c r="P113" s="267"/>
      <c r="Q113" s="267"/>
      <c r="R113" s="267"/>
      <c r="S113" s="267"/>
      <c r="T113" s="267"/>
      <c r="U113" s="267"/>
      <c r="V113" s="267"/>
      <c r="W113" s="267"/>
      <c r="X113" s="267"/>
      <c r="Y113" s="267"/>
      <c r="Z113" s="267"/>
      <c r="AA113" s="267"/>
      <c r="AB113" s="267"/>
      <c r="AC113" s="267"/>
      <c r="AD113" s="267"/>
      <c r="AE113" s="267"/>
      <c r="AF113" s="267"/>
      <c r="AG113" s="267"/>
      <c r="AH113" s="267"/>
      <c r="AI113" s="267"/>
      <c r="AJ113" s="267"/>
      <c r="AK113" s="267"/>
      <c r="AL113" s="267"/>
    </row>
    <row r="114" spans="1:38" x14ac:dyDescent="0.3">
      <c r="A114" s="267"/>
      <c r="B114" s="267"/>
      <c r="C114" s="267"/>
      <c r="D114" s="267"/>
      <c r="E114" s="267"/>
      <c r="F114" s="267"/>
      <c r="G114" s="267"/>
      <c r="H114" s="267"/>
      <c r="I114" s="267"/>
      <c r="J114" s="267"/>
      <c r="K114" s="267"/>
      <c r="L114" s="267"/>
      <c r="M114" s="267"/>
      <c r="N114" s="267"/>
      <c r="O114" s="267"/>
      <c r="P114" s="267"/>
      <c r="Q114" s="267"/>
      <c r="R114" s="267"/>
      <c r="S114" s="267"/>
      <c r="T114" s="267"/>
      <c r="U114" s="267"/>
      <c r="V114" s="267"/>
      <c r="W114" s="267"/>
      <c r="X114" s="267"/>
      <c r="Y114" s="267"/>
      <c r="Z114" s="267"/>
      <c r="AA114" s="267"/>
      <c r="AB114" s="267"/>
      <c r="AC114" s="267"/>
      <c r="AD114" s="267"/>
      <c r="AE114" s="267"/>
      <c r="AF114" s="267"/>
      <c r="AG114" s="267"/>
      <c r="AH114" s="267"/>
      <c r="AI114" s="267"/>
      <c r="AJ114" s="267"/>
      <c r="AK114" s="267"/>
      <c r="AL114" s="267"/>
    </row>
    <row r="115" spans="1:38" x14ac:dyDescent="0.3">
      <c r="A115" s="267"/>
      <c r="B115" s="267"/>
      <c r="C115" s="267"/>
      <c r="D115" s="267"/>
      <c r="E115" s="267"/>
      <c r="F115" s="267"/>
      <c r="G115" s="267"/>
      <c r="H115" s="267"/>
      <c r="I115" s="267"/>
      <c r="J115" s="267"/>
      <c r="K115" s="267"/>
      <c r="L115" s="267"/>
      <c r="M115" s="267"/>
      <c r="N115" s="267"/>
      <c r="O115" s="267"/>
      <c r="P115" s="267"/>
      <c r="Q115" s="267"/>
      <c r="R115" s="267"/>
      <c r="S115" s="267"/>
      <c r="T115" s="267"/>
      <c r="U115" s="267"/>
      <c r="V115" s="267"/>
      <c r="W115" s="267"/>
      <c r="X115" s="267"/>
      <c r="Y115" s="267"/>
      <c r="Z115" s="267"/>
      <c r="AA115" s="267"/>
      <c r="AB115" s="267"/>
      <c r="AC115" s="267"/>
      <c r="AD115" s="267"/>
      <c r="AE115" s="267"/>
      <c r="AF115" s="267"/>
      <c r="AG115" s="267"/>
      <c r="AH115" s="267"/>
      <c r="AI115" s="267"/>
      <c r="AJ115" s="267"/>
      <c r="AK115" s="267"/>
      <c r="AL115" s="267"/>
    </row>
    <row r="116" spans="1:38" x14ac:dyDescent="0.3">
      <c r="A116" s="267"/>
      <c r="B116" s="267"/>
      <c r="C116" s="267"/>
      <c r="D116" s="267"/>
      <c r="E116" s="267"/>
      <c r="F116" s="267"/>
      <c r="G116" s="267"/>
      <c r="H116" s="267"/>
      <c r="I116" s="267"/>
      <c r="J116" s="267"/>
      <c r="K116" s="267"/>
      <c r="L116" s="267"/>
      <c r="M116" s="267"/>
      <c r="N116" s="267"/>
      <c r="O116" s="267"/>
      <c r="P116" s="267"/>
      <c r="Q116" s="267"/>
      <c r="R116" s="267"/>
      <c r="S116" s="267"/>
      <c r="T116" s="267"/>
      <c r="U116" s="267"/>
      <c r="V116" s="267"/>
      <c r="W116" s="267"/>
      <c r="X116" s="267"/>
      <c r="Y116" s="267"/>
      <c r="Z116" s="267"/>
      <c r="AA116" s="267"/>
      <c r="AB116" s="267"/>
      <c r="AC116" s="267"/>
      <c r="AD116" s="267"/>
      <c r="AE116" s="267"/>
      <c r="AF116" s="267"/>
      <c r="AG116" s="267"/>
      <c r="AH116" s="267"/>
      <c r="AI116" s="267"/>
      <c r="AJ116" s="267"/>
      <c r="AK116" s="267"/>
      <c r="AL116" s="267"/>
    </row>
    <row r="117" spans="1:38" x14ac:dyDescent="0.3">
      <c r="A117" s="267"/>
      <c r="B117" s="267"/>
      <c r="C117" s="267"/>
      <c r="D117" s="267"/>
      <c r="E117" s="267"/>
      <c r="F117" s="267"/>
      <c r="G117" s="267"/>
      <c r="H117" s="267"/>
      <c r="I117" s="267"/>
      <c r="J117" s="267"/>
      <c r="K117" s="267"/>
      <c r="L117" s="267"/>
      <c r="M117" s="267"/>
      <c r="N117" s="267"/>
      <c r="O117" s="267"/>
      <c r="P117" s="267"/>
      <c r="Q117" s="267"/>
      <c r="R117" s="267"/>
      <c r="S117" s="267"/>
      <c r="T117" s="267"/>
      <c r="U117" s="267"/>
      <c r="V117" s="267"/>
      <c r="W117" s="267"/>
      <c r="X117" s="267"/>
      <c r="Y117" s="267"/>
      <c r="Z117" s="267"/>
      <c r="AA117" s="267"/>
      <c r="AB117" s="267"/>
      <c r="AC117" s="267"/>
      <c r="AD117" s="267"/>
      <c r="AE117" s="267"/>
      <c r="AF117" s="267"/>
      <c r="AG117" s="267"/>
      <c r="AH117" s="267"/>
      <c r="AI117" s="267"/>
      <c r="AJ117" s="267"/>
      <c r="AK117" s="267"/>
      <c r="AL117" s="267"/>
    </row>
    <row r="118" spans="1:38" x14ac:dyDescent="0.3">
      <c r="A118" s="267"/>
      <c r="B118" s="267"/>
      <c r="C118" s="267"/>
      <c r="D118" s="267"/>
      <c r="E118" s="267"/>
      <c r="F118" s="267"/>
      <c r="G118" s="267"/>
      <c r="H118" s="267"/>
      <c r="I118" s="267"/>
      <c r="J118" s="267"/>
      <c r="K118" s="267"/>
      <c r="L118" s="267"/>
      <c r="M118" s="267"/>
      <c r="N118" s="267"/>
      <c r="O118" s="267"/>
      <c r="P118" s="267"/>
      <c r="Q118" s="267"/>
      <c r="R118" s="267"/>
      <c r="S118" s="267"/>
      <c r="T118" s="267"/>
      <c r="U118" s="267"/>
      <c r="V118" s="267"/>
      <c r="W118" s="267"/>
      <c r="X118" s="267"/>
      <c r="Y118" s="267"/>
      <c r="Z118" s="267"/>
      <c r="AA118" s="267"/>
      <c r="AB118" s="267"/>
      <c r="AC118" s="267"/>
      <c r="AD118" s="267"/>
      <c r="AE118" s="267"/>
      <c r="AF118" s="267"/>
      <c r="AG118" s="267"/>
      <c r="AH118" s="267"/>
      <c r="AI118" s="267"/>
      <c r="AJ118" s="267"/>
      <c r="AK118" s="267"/>
      <c r="AL118" s="267"/>
    </row>
    <row r="119" spans="1:38" x14ac:dyDescent="0.3">
      <c r="A119" s="267"/>
      <c r="B119" s="267"/>
      <c r="C119" s="267"/>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67"/>
      <c r="AB119" s="267"/>
      <c r="AC119" s="267"/>
      <c r="AD119" s="267"/>
      <c r="AE119" s="267"/>
      <c r="AF119" s="267"/>
      <c r="AG119" s="267"/>
      <c r="AH119" s="267"/>
      <c r="AI119" s="267"/>
      <c r="AJ119" s="267"/>
      <c r="AK119" s="267"/>
      <c r="AL119" s="267"/>
    </row>
    <row r="120" spans="1:38" x14ac:dyDescent="0.3">
      <c r="A120" s="267"/>
      <c r="B120" s="267"/>
      <c r="C120" s="267"/>
      <c r="D120" s="267"/>
      <c r="E120" s="267"/>
      <c r="F120" s="267"/>
      <c r="G120" s="267"/>
      <c r="H120" s="267"/>
      <c r="I120" s="267"/>
      <c r="J120" s="267"/>
      <c r="K120" s="267"/>
      <c r="L120" s="267"/>
      <c r="M120" s="267"/>
      <c r="N120" s="267"/>
      <c r="O120" s="267"/>
      <c r="P120" s="267"/>
      <c r="Q120" s="267"/>
      <c r="R120" s="267"/>
      <c r="S120" s="267"/>
      <c r="T120" s="267"/>
      <c r="U120" s="267"/>
      <c r="V120" s="267"/>
      <c r="W120" s="267"/>
      <c r="X120" s="267"/>
      <c r="Y120" s="267"/>
      <c r="Z120" s="267"/>
      <c r="AA120" s="267"/>
      <c r="AB120" s="267"/>
      <c r="AC120" s="267"/>
      <c r="AD120" s="267"/>
      <c r="AE120" s="267"/>
      <c r="AF120" s="267"/>
      <c r="AG120" s="267"/>
      <c r="AH120" s="267"/>
      <c r="AI120" s="267"/>
      <c r="AJ120" s="267"/>
      <c r="AK120" s="267"/>
      <c r="AL120" s="267"/>
    </row>
    <row r="121" spans="1:38" x14ac:dyDescent="0.3">
      <c r="B121" s="214"/>
      <c r="C121" s="214"/>
      <c r="D121" s="214"/>
      <c r="E121" s="214"/>
      <c r="F121" s="214"/>
      <c r="G121" s="214"/>
      <c r="H121" s="214"/>
      <c r="I121" s="214"/>
      <c r="J121" s="214"/>
      <c r="K121" s="214"/>
      <c r="L121" s="214"/>
      <c r="M121" s="214"/>
      <c r="N121" s="214"/>
      <c r="O121" s="214"/>
      <c r="P121" s="214"/>
      <c r="Q121" s="214"/>
      <c r="R121" s="214"/>
      <c r="S121" s="214"/>
      <c r="T121" s="214"/>
      <c r="U121" s="214"/>
      <c r="V121" s="214"/>
      <c r="W121" s="214"/>
      <c r="X121" s="214"/>
      <c r="Y121" s="214"/>
      <c r="Z121" s="214"/>
      <c r="AA121" s="9"/>
      <c r="AB121" s="9"/>
      <c r="AC121" s="9"/>
      <c r="AD121" s="9"/>
      <c r="AE121" s="9"/>
      <c r="AF121" s="9"/>
      <c r="AG121" s="9"/>
      <c r="AH121" s="9"/>
      <c r="AI121" s="9"/>
      <c r="AJ121" s="9"/>
      <c r="AK121" s="9"/>
      <c r="AL121" s="9"/>
    </row>
    <row r="122" spans="1:38" x14ac:dyDescent="0.3">
      <c r="B122" s="214"/>
      <c r="C122" s="214"/>
      <c r="D122" s="214"/>
      <c r="E122" s="214"/>
      <c r="F122" s="214"/>
      <c r="G122" s="214"/>
      <c r="H122" s="214"/>
      <c r="I122" s="214"/>
      <c r="J122" s="214"/>
      <c r="K122" s="214"/>
      <c r="L122" s="214"/>
      <c r="M122" s="214"/>
      <c r="N122" s="214"/>
      <c r="O122" s="214"/>
      <c r="P122" s="214"/>
      <c r="Q122" s="214"/>
      <c r="R122" s="214"/>
      <c r="S122" s="214"/>
      <c r="T122" s="214"/>
      <c r="U122" s="214"/>
      <c r="V122" s="214"/>
      <c r="W122" s="214"/>
      <c r="X122" s="214"/>
      <c r="Y122" s="214"/>
      <c r="Z122" s="214"/>
      <c r="AA122" s="9"/>
      <c r="AB122" s="9"/>
      <c r="AC122" s="9"/>
      <c r="AD122" s="9"/>
      <c r="AE122" s="9"/>
      <c r="AF122" s="9"/>
      <c r="AG122" s="9"/>
      <c r="AH122" s="9"/>
      <c r="AI122" s="9"/>
      <c r="AJ122" s="9"/>
      <c r="AK122" s="9"/>
      <c r="AL122" s="9"/>
    </row>
    <row r="123" spans="1:38" x14ac:dyDescent="0.3">
      <c r="B123" s="214"/>
      <c r="C123" s="214"/>
      <c r="D123" s="214"/>
      <c r="E123" s="214"/>
      <c r="F123" s="214"/>
      <c r="G123" s="214"/>
      <c r="H123" s="214"/>
      <c r="I123" s="214"/>
      <c r="J123" s="214"/>
      <c r="K123" s="214"/>
      <c r="L123" s="214"/>
      <c r="M123" s="214"/>
      <c r="N123" s="214"/>
      <c r="O123" s="214"/>
      <c r="P123" s="214"/>
      <c r="Q123" s="214"/>
      <c r="R123" s="214"/>
      <c r="S123" s="214"/>
      <c r="T123" s="214"/>
      <c r="U123" s="214"/>
      <c r="V123" s="214"/>
      <c r="W123" s="214"/>
      <c r="X123" s="214"/>
      <c r="Y123" s="214"/>
      <c r="Z123" s="214"/>
      <c r="AA123" s="9"/>
      <c r="AB123" s="9"/>
      <c r="AC123" s="9"/>
      <c r="AD123" s="9"/>
      <c r="AE123" s="9"/>
      <c r="AF123" s="9"/>
      <c r="AG123" s="9"/>
      <c r="AH123" s="9"/>
      <c r="AI123" s="9"/>
      <c r="AJ123" s="9"/>
      <c r="AK123" s="9"/>
      <c r="AL123" s="9"/>
    </row>
    <row r="124" spans="1:38" x14ac:dyDescent="0.3">
      <c r="B124" s="214"/>
      <c r="C124" s="214"/>
      <c r="D124" s="214"/>
      <c r="E124" s="214"/>
      <c r="F124" s="214"/>
      <c r="G124" s="214"/>
      <c r="H124" s="214"/>
      <c r="I124" s="214"/>
      <c r="J124" s="214"/>
      <c r="K124" s="214"/>
      <c r="L124" s="214"/>
      <c r="M124" s="214"/>
      <c r="N124" s="214"/>
      <c r="O124" s="214"/>
      <c r="P124" s="214"/>
      <c r="Q124" s="214"/>
      <c r="R124" s="214"/>
      <c r="S124" s="214"/>
      <c r="T124" s="214"/>
      <c r="U124" s="214"/>
      <c r="V124" s="214"/>
      <c r="W124" s="214"/>
      <c r="X124" s="214"/>
      <c r="Y124" s="214"/>
      <c r="Z124" s="214"/>
      <c r="AA124" s="9"/>
      <c r="AB124" s="9"/>
      <c r="AC124" s="9"/>
      <c r="AD124" s="9"/>
      <c r="AE124" s="9"/>
      <c r="AF124" s="9"/>
      <c r="AG124" s="9"/>
      <c r="AH124" s="9"/>
      <c r="AI124" s="9"/>
      <c r="AJ124" s="9"/>
      <c r="AK124" s="9"/>
      <c r="AL124" s="9"/>
    </row>
    <row r="125" spans="1:38" x14ac:dyDescent="0.3">
      <c r="B125" s="214"/>
      <c r="C125" s="214"/>
      <c r="D125" s="214"/>
      <c r="E125" s="214"/>
      <c r="F125" s="214"/>
      <c r="G125" s="214"/>
      <c r="H125" s="214"/>
      <c r="I125" s="214"/>
      <c r="J125" s="214"/>
      <c r="K125" s="214"/>
      <c r="L125" s="214"/>
      <c r="M125" s="214"/>
      <c r="N125" s="214"/>
      <c r="O125" s="214"/>
      <c r="P125" s="214"/>
      <c r="Q125" s="214"/>
      <c r="R125" s="214"/>
      <c r="S125" s="214"/>
      <c r="T125" s="214"/>
      <c r="U125" s="214"/>
      <c r="V125" s="214"/>
      <c r="W125" s="214"/>
      <c r="X125" s="214"/>
      <c r="Y125" s="214"/>
      <c r="Z125" s="214"/>
      <c r="AA125" s="9"/>
      <c r="AB125" s="9"/>
      <c r="AC125" s="9"/>
      <c r="AD125" s="9"/>
      <c r="AE125" s="9"/>
      <c r="AF125" s="9"/>
      <c r="AG125" s="9"/>
      <c r="AH125" s="9"/>
      <c r="AI125" s="9"/>
      <c r="AJ125" s="9"/>
      <c r="AK125" s="9"/>
      <c r="AL125" s="9"/>
    </row>
    <row r="126" spans="1:38" x14ac:dyDescent="0.3">
      <c r="B126" s="214"/>
      <c r="C126" s="214"/>
      <c r="D126" s="214"/>
      <c r="E126" s="214"/>
      <c r="F126" s="214"/>
      <c r="G126" s="214"/>
      <c r="H126" s="214"/>
      <c r="I126" s="214"/>
      <c r="J126" s="214"/>
      <c r="K126" s="214"/>
      <c r="L126" s="214"/>
      <c r="M126" s="214"/>
      <c r="N126" s="214"/>
      <c r="O126" s="214"/>
      <c r="P126" s="214"/>
      <c r="Q126" s="214"/>
      <c r="R126" s="214"/>
      <c r="S126" s="214"/>
      <c r="T126" s="214"/>
      <c r="U126" s="214"/>
      <c r="V126" s="214"/>
      <c r="W126" s="214"/>
      <c r="X126" s="214"/>
      <c r="Y126" s="214"/>
      <c r="Z126" s="214"/>
      <c r="AA126" s="9"/>
      <c r="AB126" s="9"/>
      <c r="AC126" s="9"/>
      <c r="AD126" s="9"/>
      <c r="AE126" s="9"/>
      <c r="AF126" s="9"/>
      <c r="AG126" s="9"/>
      <c r="AH126" s="9"/>
      <c r="AI126" s="9"/>
      <c r="AJ126" s="9"/>
      <c r="AK126" s="9"/>
      <c r="AL126" s="9"/>
    </row>
    <row r="127" spans="1:38" x14ac:dyDescent="0.3">
      <c r="B127" s="214"/>
      <c r="C127" s="214"/>
      <c r="D127" s="214"/>
      <c r="E127" s="214"/>
      <c r="F127" s="214"/>
      <c r="G127" s="214"/>
      <c r="H127" s="214"/>
      <c r="I127" s="214"/>
      <c r="J127" s="214"/>
      <c r="K127" s="214"/>
      <c r="L127" s="214"/>
      <c r="M127" s="214"/>
      <c r="N127" s="214"/>
      <c r="O127" s="214"/>
      <c r="P127" s="214"/>
      <c r="Q127" s="214"/>
      <c r="R127" s="214"/>
      <c r="S127" s="214"/>
      <c r="T127" s="214"/>
      <c r="U127" s="214"/>
      <c r="V127" s="214"/>
      <c r="W127" s="214"/>
      <c r="X127" s="214"/>
      <c r="Y127" s="214"/>
      <c r="Z127" s="214"/>
      <c r="AA127" s="9"/>
      <c r="AB127" s="9"/>
      <c r="AC127" s="9"/>
      <c r="AD127" s="9"/>
      <c r="AE127" s="9"/>
      <c r="AF127" s="9"/>
      <c r="AG127" s="9"/>
      <c r="AH127" s="9"/>
      <c r="AI127" s="9"/>
      <c r="AJ127" s="9"/>
      <c r="AK127" s="9"/>
      <c r="AL127" s="9"/>
    </row>
    <row r="128" spans="1:38" x14ac:dyDescent="0.3">
      <c r="B128" s="214"/>
      <c r="C128" s="214"/>
      <c r="D128" s="214"/>
      <c r="E128" s="214"/>
      <c r="F128" s="214"/>
      <c r="G128" s="214"/>
      <c r="H128" s="214"/>
      <c r="I128" s="214"/>
      <c r="J128" s="214"/>
      <c r="K128" s="214"/>
      <c r="L128" s="214"/>
      <c r="M128" s="214"/>
      <c r="N128" s="214"/>
      <c r="O128" s="214"/>
      <c r="P128" s="214"/>
      <c r="Q128" s="214"/>
      <c r="R128" s="214"/>
      <c r="S128" s="214"/>
      <c r="T128" s="214"/>
      <c r="U128" s="214"/>
      <c r="V128" s="214"/>
      <c r="W128" s="214"/>
      <c r="X128" s="214"/>
      <c r="Y128" s="214"/>
      <c r="Z128" s="214"/>
      <c r="AA128" s="9"/>
      <c r="AB128" s="9"/>
      <c r="AC128" s="9"/>
      <c r="AD128" s="9"/>
      <c r="AE128" s="9"/>
      <c r="AF128" s="9"/>
      <c r="AG128" s="9"/>
      <c r="AH128" s="9"/>
      <c r="AI128" s="9"/>
      <c r="AJ128" s="9"/>
      <c r="AK128" s="9"/>
      <c r="AL128" s="9"/>
    </row>
    <row r="129" spans="2:38" x14ac:dyDescent="0.3">
      <c r="B129" s="214"/>
      <c r="C129" s="214"/>
      <c r="D129" s="214"/>
      <c r="E129" s="214"/>
      <c r="F129" s="214"/>
      <c r="G129" s="214"/>
      <c r="H129" s="214"/>
      <c r="I129" s="214"/>
      <c r="J129" s="214"/>
      <c r="K129" s="214"/>
      <c r="L129" s="214"/>
      <c r="M129" s="214"/>
      <c r="N129" s="214"/>
      <c r="O129" s="214"/>
      <c r="P129" s="214"/>
      <c r="Q129" s="214"/>
      <c r="R129" s="214"/>
      <c r="S129" s="214"/>
      <c r="T129" s="214"/>
      <c r="U129" s="214"/>
      <c r="V129" s="214"/>
      <c r="W129" s="214"/>
      <c r="X129" s="214"/>
      <c r="Y129" s="214"/>
      <c r="Z129" s="214"/>
      <c r="AA129" s="9"/>
      <c r="AB129" s="9"/>
      <c r="AC129" s="9"/>
      <c r="AD129" s="9"/>
      <c r="AE129" s="9"/>
      <c r="AF129" s="9"/>
      <c r="AG129" s="9"/>
      <c r="AH129" s="9"/>
      <c r="AI129" s="9"/>
      <c r="AJ129" s="9"/>
      <c r="AK129" s="9"/>
      <c r="AL129" s="9"/>
    </row>
    <row r="130" spans="2:38" x14ac:dyDescent="0.3">
      <c r="B130" s="214"/>
      <c r="C130" s="214"/>
      <c r="D130" s="214"/>
      <c r="E130" s="214"/>
      <c r="F130" s="214"/>
      <c r="G130" s="214"/>
      <c r="H130" s="214"/>
      <c r="I130" s="214"/>
      <c r="J130" s="214"/>
      <c r="K130" s="214"/>
      <c r="L130" s="214"/>
      <c r="M130" s="214"/>
      <c r="N130" s="214"/>
      <c r="O130" s="214"/>
      <c r="P130" s="214"/>
      <c r="Q130" s="214"/>
      <c r="R130" s="214"/>
      <c r="S130" s="214"/>
      <c r="T130" s="214"/>
      <c r="U130" s="214"/>
      <c r="V130" s="214"/>
      <c r="W130" s="214"/>
      <c r="X130" s="214"/>
      <c r="Y130" s="214"/>
      <c r="Z130" s="214"/>
      <c r="AA130" s="9"/>
      <c r="AB130" s="9"/>
      <c r="AC130" s="9"/>
      <c r="AD130" s="9"/>
      <c r="AE130" s="9"/>
      <c r="AF130" s="9"/>
      <c r="AG130" s="9"/>
      <c r="AH130" s="9"/>
      <c r="AI130" s="9"/>
      <c r="AJ130" s="9"/>
      <c r="AK130" s="9"/>
      <c r="AL130" s="9"/>
    </row>
    <row r="131" spans="2:38" x14ac:dyDescent="0.3">
      <c r="B131" s="214"/>
      <c r="C131" s="214"/>
      <c r="D131" s="214"/>
      <c r="E131" s="214"/>
      <c r="F131" s="214"/>
      <c r="G131" s="214"/>
      <c r="H131" s="214"/>
      <c r="I131" s="214"/>
      <c r="J131" s="214"/>
      <c r="K131" s="214"/>
      <c r="L131" s="214"/>
      <c r="M131" s="214"/>
      <c r="N131" s="214"/>
      <c r="O131" s="214"/>
      <c r="P131" s="214"/>
      <c r="Q131" s="214"/>
      <c r="R131" s="214"/>
      <c r="S131" s="214"/>
      <c r="T131" s="214"/>
      <c r="U131" s="214"/>
      <c r="V131" s="214"/>
      <c r="W131" s="214"/>
      <c r="X131" s="214"/>
      <c r="Y131" s="214"/>
      <c r="Z131" s="214"/>
      <c r="AA131" s="9"/>
      <c r="AB131" s="9"/>
      <c r="AC131" s="9"/>
      <c r="AD131" s="9"/>
      <c r="AE131" s="9"/>
      <c r="AF131" s="9"/>
      <c r="AG131" s="9"/>
      <c r="AH131" s="9"/>
      <c r="AI131" s="9"/>
      <c r="AJ131" s="9"/>
      <c r="AK131" s="9"/>
      <c r="AL131" s="9"/>
    </row>
    <row r="132" spans="2:38" x14ac:dyDescent="0.3">
      <c r="B132" s="214"/>
      <c r="C132" s="214"/>
      <c r="D132" s="214"/>
      <c r="E132" s="214"/>
      <c r="F132" s="214"/>
      <c r="G132" s="214"/>
      <c r="H132" s="214"/>
      <c r="I132" s="214"/>
      <c r="J132" s="214"/>
      <c r="K132" s="214"/>
      <c r="L132" s="214"/>
      <c r="M132" s="214"/>
      <c r="N132" s="214"/>
      <c r="O132" s="214"/>
      <c r="P132" s="214"/>
      <c r="Q132" s="214"/>
      <c r="R132" s="214"/>
      <c r="S132" s="214"/>
      <c r="T132" s="214"/>
      <c r="U132" s="214"/>
      <c r="V132" s="214"/>
      <c r="W132" s="214"/>
      <c r="X132" s="214"/>
      <c r="Y132" s="214"/>
      <c r="Z132" s="214"/>
      <c r="AA132" s="9"/>
      <c r="AB132" s="9"/>
      <c r="AC132" s="9"/>
      <c r="AD132" s="9"/>
      <c r="AE132" s="9"/>
      <c r="AF132" s="9"/>
      <c r="AG132" s="9"/>
      <c r="AH132" s="9"/>
      <c r="AI132" s="9"/>
      <c r="AJ132" s="9"/>
      <c r="AK132" s="9"/>
      <c r="AL132" s="9"/>
    </row>
    <row r="133" spans="2:38" x14ac:dyDescent="0.3">
      <c r="B133" s="214"/>
      <c r="C133" s="214"/>
      <c r="D133" s="214"/>
      <c r="E133" s="214"/>
      <c r="F133" s="214"/>
      <c r="G133" s="214"/>
      <c r="H133" s="214"/>
      <c r="I133" s="214"/>
      <c r="J133" s="214"/>
      <c r="K133" s="214"/>
      <c r="L133" s="214"/>
      <c r="M133" s="214"/>
      <c r="N133" s="214"/>
      <c r="O133" s="214"/>
      <c r="P133" s="214"/>
      <c r="Q133" s="214"/>
      <c r="R133" s="214"/>
      <c r="S133" s="214"/>
      <c r="T133" s="214"/>
      <c r="U133" s="214"/>
      <c r="V133" s="214"/>
      <c r="W133" s="214"/>
      <c r="X133" s="214"/>
      <c r="Y133" s="214"/>
      <c r="Z133" s="214"/>
      <c r="AA133" s="9"/>
      <c r="AB133" s="9"/>
      <c r="AC133" s="9"/>
      <c r="AD133" s="9"/>
      <c r="AE133" s="9"/>
      <c r="AF133" s="9"/>
      <c r="AG133" s="9"/>
      <c r="AH133" s="9"/>
      <c r="AI133" s="9"/>
      <c r="AJ133" s="9"/>
      <c r="AK133" s="9"/>
      <c r="AL133" s="9"/>
    </row>
    <row r="134" spans="2:38" x14ac:dyDescent="0.3">
      <c r="B134" s="214"/>
      <c r="C134" s="214"/>
      <c r="D134" s="214"/>
      <c r="E134" s="214"/>
      <c r="F134" s="214"/>
      <c r="G134" s="214"/>
      <c r="H134" s="214"/>
      <c r="I134" s="214"/>
      <c r="J134" s="214"/>
      <c r="K134" s="214"/>
      <c r="L134" s="214"/>
      <c r="M134" s="214"/>
      <c r="N134" s="214"/>
      <c r="O134" s="214"/>
      <c r="P134" s="214"/>
      <c r="Q134" s="214"/>
      <c r="R134" s="214"/>
      <c r="S134" s="214"/>
      <c r="T134" s="214"/>
      <c r="U134" s="214"/>
      <c r="V134" s="214"/>
      <c r="W134" s="214"/>
      <c r="X134" s="214"/>
      <c r="Y134" s="214"/>
      <c r="Z134" s="214"/>
      <c r="AA134" s="9"/>
      <c r="AB134" s="9"/>
      <c r="AC134" s="9"/>
      <c r="AD134" s="9"/>
      <c r="AE134" s="9"/>
      <c r="AF134" s="9"/>
      <c r="AG134" s="9"/>
      <c r="AH134" s="9"/>
      <c r="AI134" s="9"/>
      <c r="AJ134" s="9"/>
      <c r="AK134" s="9"/>
      <c r="AL134" s="9"/>
    </row>
    <row r="135" spans="2:38" x14ac:dyDescent="0.3">
      <c r="B135" s="214"/>
      <c r="C135" s="214"/>
      <c r="D135" s="214"/>
      <c r="E135" s="214"/>
      <c r="F135" s="214"/>
      <c r="G135" s="214"/>
      <c r="H135" s="214"/>
      <c r="I135" s="214"/>
      <c r="J135" s="214"/>
      <c r="K135" s="214"/>
      <c r="L135" s="214"/>
      <c r="M135" s="214"/>
      <c r="N135" s="214"/>
      <c r="O135" s="214"/>
      <c r="P135" s="214"/>
      <c r="Q135" s="214"/>
      <c r="R135" s="214"/>
      <c r="S135" s="214"/>
      <c r="T135" s="214"/>
      <c r="U135" s="214"/>
      <c r="V135" s="214"/>
      <c r="W135" s="214"/>
      <c r="X135" s="214"/>
      <c r="Y135" s="214"/>
      <c r="Z135" s="214"/>
      <c r="AA135" s="9"/>
      <c r="AB135" s="9"/>
      <c r="AC135" s="9"/>
      <c r="AD135" s="9"/>
      <c r="AE135" s="9"/>
      <c r="AF135" s="9"/>
      <c r="AG135" s="9"/>
      <c r="AH135" s="9"/>
      <c r="AI135" s="9"/>
      <c r="AJ135" s="9"/>
      <c r="AK135" s="9"/>
      <c r="AL135" s="9"/>
    </row>
    <row r="136" spans="2:38" x14ac:dyDescent="0.3">
      <c r="B136" s="214"/>
      <c r="C136" s="214"/>
      <c r="D136" s="214"/>
      <c r="E136" s="214"/>
      <c r="F136" s="214"/>
      <c r="G136" s="214"/>
      <c r="H136" s="214"/>
      <c r="I136" s="214"/>
      <c r="J136" s="214"/>
      <c r="K136" s="214"/>
      <c r="L136" s="214"/>
      <c r="M136" s="214"/>
      <c r="N136" s="214"/>
      <c r="O136" s="214"/>
      <c r="P136" s="214"/>
      <c r="Q136" s="214"/>
      <c r="R136" s="214"/>
      <c r="S136" s="214"/>
      <c r="T136" s="214"/>
      <c r="U136" s="214"/>
      <c r="V136" s="214"/>
      <c r="W136" s="214"/>
      <c r="X136" s="214"/>
      <c r="Y136" s="214"/>
      <c r="Z136" s="214"/>
      <c r="AA136" s="9"/>
      <c r="AB136" s="9"/>
      <c r="AC136" s="9"/>
      <c r="AD136" s="9"/>
      <c r="AE136" s="9"/>
      <c r="AF136" s="9"/>
      <c r="AG136" s="9"/>
      <c r="AH136" s="9"/>
      <c r="AI136" s="9"/>
      <c r="AJ136" s="9"/>
      <c r="AK136" s="9"/>
      <c r="AL136" s="9"/>
    </row>
    <row r="137" spans="2:38" x14ac:dyDescent="0.3">
      <c r="B137" s="214"/>
      <c r="C137" s="214"/>
      <c r="D137" s="214"/>
      <c r="E137" s="214"/>
      <c r="F137" s="214"/>
      <c r="G137" s="214"/>
      <c r="H137" s="214"/>
      <c r="I137" s="214"/>
      <c r="J137" s="214"/>
      <c r="K137" s="214"/>
      <c r="L137" s="214"/>
      <c r="M137" s="214"/>
      <c r="N137" s="214"/>
      <c r="O137" s="214"/>
      <c r="P137" s="214"/>
      <c r="Q137" s="214"/>
      <c r="R137" s="214"/>
      <c r="S137" s="214"/>
      <c r="T137" s="214"/>
      <c r="U137" s="214"/>
      <c r="V137" s="214"/>
      <c r="W137" s="214"/>
      <c r="X137" s="214"/>
      <c r="Y137" s="214"/>
      <c r="Z137" s="214"/>
      <c r="AA137" s="9"/>
      <c r="AB137" s="9"/>
      <c r="AC137" s="9"/>
      <c r="AD137" s="9"/>
      <c r="AE137" s="9"/>
      <c r="AF137" s="9"/>
      <c r="AG137" s="9"/>
      <c r="AH137" s="9"/>
      <c r="AI137" s="9"/>
      <c r="AJ137" s="9"/>
      <c r="AK137" s="9"/>
      <c r="AL137" s="9"/>
    </row>
    <row r="138" spans="2:38" x14ac:dyDescent="0.3">
      <c r="B138" s="214"/>
      <c r="C138" s="214"/>
      <c r="D138" s="214"/>
      <c r="E138" s="214"/>
      <c r="F138" s="214"/>
      <c r="G138" s="214"/>
      <c r="H138" s="214"/>
      <c r="I138" s="214"/>
      <c r="J138" s="214"/>
      <c r="K138" s="214"/>
      <c r="L138" s="214"/>
      <c r="M138" s="214"/>
      <c r="N138" s="214"/>
      <c r="O138" s="214"/>
      <c r="P138" s="214"/>
      <c r="Q138" s="214"/>
      <c r="R138" s="214"/>
      <c r="S138" s="214"/>
      <c r="T138" s="214"/>
      <c r="U138" s="214"/>
      <c r="V138" s="214"/>
      <c r="W138" s="214"/>
      <c r="X138" s="214"/>
      <c r="Y138" s="214"/>
      <c r="Z138" s="214"/>
      <c r="AA138" s="9"/>
      <c r="AB138" s="9"/>
      <c r="AC138" s="9"/>
      <c r="AD138" s="9"/>
      <c r="AE138" s="9"/>
      <c r="AF138" s="9"/>
      <c r="AG138" s="9"/>
      <c r="AH138" s="9"/>
      <c r="AI138" s="9"/>
      <c r="AJ138" s="9"/>
      <c r="AK138" s="9"/>
      <c r="AL138" s="9"/>
    </row>
    <row r="139" spans="2:38" x14ac:dyDescent="0.3">
      <c r="B139" s="214"/>
      <c r="C139" s="214"/>
      <c r="D139" s="214"/>
      <c r="E139" s="214"/>
      <c r="F139" s="214"/>
      <c r="G139" s="214"/>
      <c r="H139" s="214"/>
      <c r="I139" s="214"/>
      <c r="J139" s="214"/>
      <c r="K139" s="214"/>
      <c r="L139" s="214"/>
      <c r="M139" s="214"/>
      <c r="N139" s="214"/>
      <c r="O139" s="214"/>
      <c r="P139" s="214"/>
      <c r="Q139" s="214"/>
      <c r="R139" s="214"/>
      <c r="S139" s="214"/>
      <c r="T139" s="214"/>
      <c r="U139" s="214"/>
      <c r="V139" s="214"/>
      <c r="W139" s="214"/>
      <c r="X139" s="214"/>
      <c r="Y139" s="214"/>
      <c r="Z139" s="214"/>
      <c r="AA139" s="9"/>
      <c r="AB139" s="9"/>
      <c r="AC139" s="9"/>
      <c r="AD139" s="9"/>
      <c r="AE139" s="9"/>
      <c r="AF139" s="9"/>
      <c r="AG139" s="9"/>
      <c r="AH139" s="9"/>
      <c r="AI139" s="9"/>
      <c r="AJ139" s="9"/>
      <c r="AK139" s="9"/>
      <c r="AL139" s="9"/>
    </row>
    <row r="140" spans="2:38" x14ac:dyDescent="0.3">
      <c r="B140" s="214"/>
      <c r="C140" s="214"/>
      <c r="D140" s="214"/>
      <c r="E140" s="214"/>
      <c r="F140" s="214"/>
      <c r="G140" s="214"/>
      <c r="H140" s="214"/>
      <c r="I140" s="214"/>
      <c r="J140" s="214"/>
      <c r="K140" s="214"/>
      <c r="L140" s="214"/>
      <c r="M140" s="214"/>
      <c r="N140" s="214"/>
      <c r="O140" s="214"/>
      <c r="P140" s="214"/>
      <c r="Q140" s="214"/>
      <c r="R140" s="214"/>
      <c r="S140" s="214"/>
      <c r="T140" s="214"/>
      <c r="U140" s="214"/>
      <c r="V140" s="214"/>
      <c r="W140" s="214"/>
      <c r="X140" s="214"/>
      <c r="Y140" s="214"/>
      <c r="Z140" s="214"/>
      <c r="AA140" s="9"/>
      <c r="AB140" s="9"/>
      <c r="AC140" s="9"/>
      <c r="AD140" s="9"/>
      <c r="AE140" s="9"/>
      <c r="AF140" s="9"/>
      <c r="AG140" s="9"/>
      <c r="AH140" s="9"/>
      <c r="AI140" s="9"/>
      <c r="AJ140" s="9"/>
      <c r="AK140" s="9"/>
      <c r="AL140" s="9"/>
    </row>
    <row r="141" spans="2:38" x14ac:dyDescent="0.3">
      <c r="B141" s="214"/>
      <c r="C141" s="214"/>
      <c r="D141" s="214"/>
      <c r="E141" s="214"/>
      <c r="F141" s="214"/>
      <c r="G141" s="214"/>
      <c r="H141" s="214"/>
      <c r="I141" s="214"/>
      <c r="J141" s="214"/>
      <c r="K141" s="214"/>
      <c r="L141" s="214"/>
      <c r="M141" s="214"/>
      <c r="N141" s="214"/>
      <c r="O141" s="214"/>
      <c r="P141" s="214"/>
      <c r="Q141" s="214"/>
      <c r="R141" s="214"/>
      <c r="S141" s="214"/>
      <c r="T141" s="214"/>
      <c r="U141" s="214"/>
      <c r="V141" s="214"/>
      <c r="W141" s="214"/>
      <c r="X141" s="214"/>
      <c r="Y141" s="214"/>
      <c r="Z141" s="214"/>
      <c r="AA141" s="9"/>
      <c r="AB141" s="9"/>
      <c r="AC141" s="9"/>
      <c r="AD141" s="9"/>
      <c r="AE141" s="9"/>
      <c r="AF141" s="9"/>
      <c r="AG141" s="9"/>
      <c r="AH141" s="9"/>
      <c r="AI141" s="9"/>
      <c r="AJ141" s="9"/>
      <c r="AK141" s="9"/>
      <c r="AL141" s="9"/>
    </row>
    <row r="142" spans="2:38" x14ac:dyDescent="0.3">
      <c r="B142" s="214"/>
      <c r="C142" s="214"/>
      <c r="D142" s="214"/>
      <c r="E142" s="214"/>
      <c r="F142" s="214"/>
      <c r="G142" s="214"/>
      <c r="H142" s="214"/>
      <c r="I142" s="214"/>
      <c r="J142" s="214"/>
      <c r="K142" s="214"/>
      <c r="L142" s="214"/>
      <c r="M142" s="214"/>
      <c r="N142" s="214"/>
      <c r="O142" s="214"/>
      <c r="P142" s="214"/>
      <c r="Q142" s="214"/>
      <c r="R142" s="214"/>
      <c r="S142" s="214"/>
      <c r="T142" s="214"/>
      <c r="U142" s="214"/>
      <c r="V142" s="214"/>
      <c r="W142" s="214"/>
      <c r="X142" s="214"/>
      <c r="Y142" s="214"/>
      <c r="Z142" s="214"/>
      <c r="AA142" s="9"/>
      <c r="AB142" s="9"/>
      <c r="AC142" s="9"/>
      <c r="AD142" s="9"/>
      <c r="AE142" s="9"/>
      <c r="AF142" s="9"/>
      <c r="AG142" s="9"/>
      <c r="AH142" s="9"/>
      <c r="AI142" s="9"/>
      <c r="AJ142" s="9"/>
      <c r="AK142" s="9"/>
      <c r="AL142" s="9"/>
    </row>
    <row r="143" spans="2:38" x14ac:dyDescent="0.3">
      <c r="B143" s="214"/>
      <c r="C143" s="214"/>
      <c r="D143" s="214"/>
      <c r="E143" s="214"/>
      <c r="F143" s="214"/>
      <c r="G143" s="214"/>
      <c r="H143" s="214"/>
      <c r="I143" s="214"/>
      <c r="J143" s="214"/>
      <c r="K143" s="214"/>
      <c r="L143" s="214"/>
      <c r="M143" s="214"/>
      <c r="N143" s="214"/>
      <c r="O143" s="214"/>
      <c r="P143" s="214"/>
      <c r="Q143" s="214"/>
      <c r="R143" s="214"/>
      <c r="S143" s="214"/>
      <c r="T143" s="214"/>
      <c r="U143" s="214"/>
      <c r="V143" s="214"/>
      <c r="W143" s="214"/>
      <c r="X143" s="214"/>
      <c r="Y143" s="214"/>
      <c r="Z143" s="214"/>
      <c r="AA143" s="9"/>
      <c r="AB143" s="9"/>
      <c r="AC143" s="9"/>
      <c r="AD143" s="9"/>
      <c r="AE143" s="9"/>
      <c r="AF143" s="9"/>
      <c r="AG143" s="9"/>
      <c r="AH143" s="9"/>
      <c r="AI143" s="9"/>
      <c r="AJ143" s="9"/>
      <c r="AK143" s="9"/>
      <c r="AL143" s="9"/>
    </row>
    <row r="144" spans="2:38" x14ac:dyDescent="0.3">
      <c r="B144" s="214"/>
      <c r="C144" s="214"/>
      <c r="D144" s="214"/>
      <c r="E144" s="214"/>
      <c r="F144" s="214"/>
      <c r="G144" s="214"/>
      <c r="H144" s="214"/>
      <c r="I144" s="214"/>
      <c r="J144" s="214"/>
      <c r="K144" s="214"/>
      <c r="L144" s="214"/>
      <c r="M144" s="214"/>
      <c r="N144" s="214"/>
      <c r="O144" s="214"/>
      <c r="P144" s="214"/>
      <c r="Q144" s="214"/>
      <c r="R144" s="214"/>
      <c r="S144" s="214"/>
      <c r="T144" s="214"/>
      <c r="U144" s="214"/>
      <c r="V144" s="214"/>
      <c r="W144" s="214"/>
      <c r="X144" s="214"/>
      <c r="Y144" s="214"/>
      <c r="Z144" s="214"/>
      <c r="AA144" s="9"/>
      <c r="AB144" s="9"/>
      <c r="AC144" s="9"/>
      <c r="AD144" s="9"/>
      <c r="AE144" s="9"/>
      <c r="AF144" s="9"/>
      <c r="AG144" s="9"/>
      <c r="AH144" s="9"/>
      <c r="AI144" s="9"/>
      <c r="AJ144" s="9"/>
      <c r="AK144" s="9"/>
      <c r="AL144" s="9"/>
    </row>
    <row r="145" spans="2:38" x14ac:dyDescent="0.3">
      <c r="B145" s="214"/>
      <c r="C145" s="214"/>
      <c r="D145" s="214"/>
      <c r="E145" s="214"/>
      <c r="F145" s="214"/>
      <c r="G145" s="214"/>
      <c r="H145" s="214"/>
      <c r="I145" s="214"/>
      <c r="J145" s="214"/>
      <c r="K145" s="214"/>
      <c r="L145" s="214"/>
      <c r="M145" s="214"/>
      <c r="N145" s="214"/>
      <c r="O145" s="214"/>
      <c r="P145" s="214"/>
      <c r="Q145" s="214"/>
      <c r="R145" s="214"/>
      <c r="S145" s="214"/>
      <c r="T145" s="214"/>
      <c r="U145" s="214"/>
      <c r="V145" s="214"/>
      <c r="W145" s="214"/>
      <c r="X145" s="214"/>
      <c r="Y145" s="214"/>
      <c r="Z145" s="214"/>
      <c r="AA145" s="9"/>
      <c r="AB145" s="9"/>
      <c r="AC145" s="9"/>
      <c r="AD145" s="9"/>
      <c r="AE145" s="9"/>
      <c r="AF145" s="9"/>
      <c r="AG145" s="9"/>
      <c r="AH145" s="9"/>
      <c r="AI145" s="9"/>
      <c r="AJ145" s="9"/>
      <c r="AK145" s="9"/>
      <c r="AL145" s="9"/>
    </row>
    <row r="146" spans="2:38" x14ac:dyDescent="0.3">
      <c r="B146" s="214"/>
      <c r="C146" s="214"/>
      <c r="D146" s="214"/>
      <c r="E146" s="214"/>
      <c r="F146" s="214"/>
      <c r="G146" s="214"/>
      <c r="H146" s="214"/>
      <c r="I146" s="214"/>
      <c r="J146" s="214"/>
      <c r="K146" s="214"/>
      <c r="L146" s="214"/>
      <c r="M146" s="214"/>
      <c r="N146" s="214"/>
      <c r="O146" s="214"/>
      <c r="P146" s="214"/>
      <c r="Q146" s="214"/>
      <c r="R146" s="214"/>
      <c r="S146" s="214"/>
      <c r="T146" s="214"/>
      <c r="U146" s="214"/>
      <c r="V146" s="214"/>
      <c r="W146" s="214"/>
      <c r="X146" s="214"/>
      <c r="Y146" s="214"/>
      <c r="Z146" s="214"/>
      <c r="AA146" s="9"/>
      <c r="AB146" s="9"/>
      <c r="AC146" s="9"/>
      <c r="AD146" s="9"/>
      <c r="AE146" s="9"/>
      <c r="AF146" s="9"/>
      <c r="AG146" s="9"/>
      <c r="AH146" s="9"/>
      <c r="AI146" s="9"/>
      <c r="AJ146" s="9"/>
      <c r="AK146" s="9"/>
      <c r="AL146" s="9"/>
    </row>
    <row r="147" spans="2:38" x14ac:dyDescent="0.3">
      <c r="B147" s="214"/>
      <c r="C147" s="214"/>
      <c r="D147" s="214"/>
      <c r="E147" s="214"/>
      <c r="F147" s="214"/>
      <c r="G147" s="214"/>
      <c r="H147" s="214"/>
      <c r="I147" s="214"/>
      <c r="J147" s="214"/>
      <c r="K147" s="214"/>
      <c r="L147" s="214"/>
      <c r="M147" s="214"/>
      <c r="N147" s="214"/>
      <c r="O147" s="214"/>
      <c r="P147" s="214"/>
      <c r="Q147" s="214"/>
      <c r="R147" s="214"/>
      <c r="S147" s="214"/>
      <c r="T147" s="214"/>
      <c r="U147" s="214"/>
      <c r="V147" s="214"/>
      <c r="W147" s="214"/>
      <c r="X147" s="214"/>
      <c r="Y147" s="214"/>
      <c r="Z147" s="214"/>
      <c r="AA147" s="9"/>
      <c r="AB147" s="9"/>
      <c r="AC147" s="9"/>
      <c r="AD147" s="9"/>
      <c r="AE147" s="9"/>
      <c r="AF147" s="9"/>
      <c r="AG147" s="9"/>
      <c r="AH147" s="9"/>
      <c r="AI147" s="9"/>
      <c r="AJ147" s="9"/>
      <c r="AK147" s="9"/>
      <c r="AL147" s="9"/>
    </row>
    <row r="148" spans="2:38" x14ac:dyDescent="0.3">
      <c r="B148" s="214"/>
      <c r="C148" s="214"/>
      <c r="D148" s="214"/>
      <c r="E148" s="214"/>
      <c r="F148" s="214"/>
      <c r="G148" s="214"/>
      <c r="H148" s="214"/>
      <c r="I148" s="214"/>
      <c r="J148" s="214"/>
      <c r="K148" s="214"/>
      <c r="L148" s="214"/>
      <c r="M148" s="214"/>
      <c r="N148" s="214"/>
      <c r="O148" s="214"/>
      <c r="P148" s="214"/>
      <c r="Q148" s="214"/>
      <c r="R148" s="214"/>
      <c r="S148" s="214"/>
      <c r="T148" s="214"/>
      <c r="U148" s="214"/>
      <c r="V148" s="214"/>
      <c r="W148" s="214"/>
      <c r="X148" s="214"/>
      <c r="Y148" s="214"/>
      <c r="Z148" s="214"/>
      <c r="AA148" s="9"/>
      <c r="AB148" s="9"/>
      <c r="AC148" s="9"/>
      <c r="AD148" s="9"/>
      <c r="AE148" s="9"/>
      <c r="AF148" s="9"/>
      <c r="AG148" s="9"/>
      <c r="AH148" s="9"/>
      <c r="AI148" s="9"/>
      <c r="AJ148" s="9"/>
      <c r="AK148" s="9"/>
      <c r="AL148" s="9"/>
    </row>
    <row r="149" spans="2:38" x14ac:dyDescent="0.3">
      <c r="B149" s="214"/>
      <c r="C149" s="214"/>
      <c r="D149" s="214"/>
      <c r="E149" s="214"/>
      <c r="F149" s="214"/>
      <c r="G149" s="214"/>
      <c r="H149" s="214"/>
      <c r="I149" s="214"/>
      <c r="J149" s="214"/>
      <c r="K149" s="214"/>
      <c r="L149" s="214"/>
      <c r="M149" s="214"/>
      <c r="N149" s="214"/>
      <c r="O149" s="214"/>
      <c r="P149" s="214"/>
      <c r="Q149" s="214"/>
      <c r="R149" s="214"/>
      <c r="S149" s="214"/>
      <c r="T149" s="214"/>
      <c r="U149" s="214"/>
      <c r="V149" s="214"/>
      <c r="W149" s="214"/>
      <c r="X149" s="214"/>
      <c r="Y149" s="214"/>
      <c r="Z149" s="214"/>
      <c r="AA149" s="9"/>
      <c r="AB149" s="9"/>
      <c r="AC149" s="9"/>
      <c r="AD149" s="9"/>
      <c r="AE149" s="9"/>
      <c r="AF149" s="9"/>
      <c r="AG149" s="9"/>
      <c r="AH149" s="9"/>
      <c r="AI149" s="9"/>
      <c r="AJ149" s="9"/>
      <c r="AK149" s="9"/>
      <c r="AL149" s="9"/>
    </row>
    <row r="150" spans="2:38" x14ac:dyDescent="0.3">
      <c r="B150" s="214"/>
      <c r="C150" s="214"/>
      <c r="D150" s="214"/>
      <c r="E150" s="214"/>
      <c r="F150" s="214"/>
      <c r="G150" s="214"/>
      <c r="H150" s="214"/>
      <c r="I150" s="214"/>
      <c r="J150" s="214"/>
      <c r="K150" s="214"/>
      <c r="L150" s="214"/>
      <c r="M150" s="214"/>
      <c r="N150" s="214"/>
      <c r="O150" s="214"/>
      <c r="P150" s="214"/>
      <c r="Q150" s="214"/>
      <c r="R150" s="214"/>
      <c r="S150" s="214"/>
      <c r="T150" s="214"/>
      <c r="U150" s="214"/>
      <c r="V150" s="214"/>
      <c r="W150" s="214"/>
      <c r="X150" s="214"/>
      <c r="Y150" s="214"/>
      <c r="Z150" s="214"/>
      <c r="AA150" s="9"/>
      <c r="AB150" s="9"/>
      <c r="AC150" s="9"/>
      <c r="AD150" s="9"/>
      <c r="AE150" s="9"/>
      <c r="AF150" s="9"/>
      <c r="AG150" s="9"/>
      <c r="AH150" s="9"/>
      <c r="AI150" s="9"/>
      <c r="AJ150" s="9"/>
      <c r="AK150" s="9"/>
      <c r="AL150" s="9"/>
    </row>
    <row r="151" spans="2:38" x14ac:dyDescent="0.3">
      <c r="B151" s="214"/>
      <c r="C151" s="214"/>
      <c r="D151" s="214"/>
      <c r="E151" s="214"/>
      <c r="F151" s="214"/>
      <c r="G151" s="214"/>
      <c r="H151" s="214"/>
      <c r="I151" s="214"/>
      <c r="J151" s="214"/>
      <c r="K151" s="214"/>
      <c r="L151" s="214"/>
      <c r="M151" s="214"/>
      <c r="N151" s="214"/>
      <c r="O151" s="214"/>
      <c r="P151" s="214"/>
      <c r="Q151" s="214"/>
      <c r="R151" s="214"/>
      <c r="S151" s="214"/>
      <c r="T151" s="214"/>
      <c r="U151" s="214"/>
      <c r="V151" s="214"/>
      <c r="W151" s="214"/>
      <c r="X151" s="214"/>
      <c r="Y151" s="214"/>
      <c r="Z151" s="214"/>
      <c r="AA151" s="9"/>
      <c r="AB151" s="9"/>
      <c r="AC151" s="9"/>
      <c r="AD151" s="9"/>
      <c r="AE151" s="9"/>
      <c r="AF151" s="9"/>
      <c r="AG151" s="9"/>
      <c r="AH151" s="9"/>
      <c r="AI151" s="9"/>
      <c r="AJ151" s="9"/>
      <c r="AK151" s="9"/>
      <c r="AL151" s="9"/>
    </row>
    <row r="152" spans="2:38" x14ac:dyDescent="0.3">
      <c r="B152" s="214"/>
      <c r="C152" s="214"/>
      <c r="D152" s="214"/>
      <c r="E152" s="214"/>
      <c r="F152" s="214"/>
      <c r="G152" s="214"/>
      <c r="H152" s="214"/>
      <c r="I152" s="214"/>
      <c r="J152" s="214"/>
      <c r="K152" s="214"/>
      <c r="L152" s="214"/>
      <c r="M152" s="214"/>
      <c r="N152" s="214"/>
      <c r="O152" s="214"/>
      <c r="P152" s="214"/>
      <c r="Q152" s="214"/>
      <c r="R152" s="214"/>
      <c r="S152" s="214"/>
      <c r="T152" s="214"/>
      <c r="U152" s="214"/>
      <c r="V152" s="214"/>
      <c r="W152" s="214"/>
      <c r="X152" s="214"/>
      <c r="Y152" s="214"/>
      <c r="Z152" s="214"/>
      <c r="AA152" s="9"/>
      <c r="AB152" s="9"/>
      <c r="AC152" s="9"/>
      <c r="AD152" s="9"/>
      <c r="AE152" s="9"/>
      <c r="AF152" s="9"/>
      <c r="AG152" s="9"/>
      <c r="AH152" s="9"/>
      <c r="AI152" s="9"/>
      <c r="AJ152" s="9"/>
      <c r="AK152" s="9"/>
      <c r="AL152" s="9"/>
    </row>
    <row r="153" spans="2:38" x14ac:dyDescent="0.3">
      <c r="B153" s="214"/>
      <c r="C153" s="214"/>
      <c r="D153" s="214"/>
      <c r="E153" s="214"/>
      <c r="F153" s="214"/>
      <c r="G153" s="214"/>
      <c r="H153" s="214"/>
      <c r="I153" s="214"/>
      <c r="J153" s="214"/>
      <c r="K153" s="214"/>
      <c r="L153" s="214"/>
      <c r="M153" s="214"/>
      <c r="N153" s="214"/>
      <c r="O153" s="214"/>
      <c r="P153" s="214"/>
      <c r="Q153" s="214"/>
      <c r="R153" s="214"/>
      <c r="S153" s="214"/>
      <c r="T153" s="214"/>
      <c r="U153" s="214"/>
      <c r="V153" s="214"/>
      <c r="W153" s="214"/>
      <c r="X153" s="214"/>
      <c r="Y153" s="214"/>
      <c r="Z153" s="214"/>
      <c r="AA153" s="9"/>
      <c r="AB153" s="9"/>
      <c r="AC153" s="9"/>
      <c r="AD153" s="9"/>
      <c r="AE153" s="9"/>
      <c r="AF153" s="9"/>
      <c r="AG153" s="9"/>
      <c r="AH153" s="9"/>
      <c r="AI153" s="9"/>
      <c r="AJ153" s="9"/>
      <c r="AK153" s="9"/>
      <c r="AL153" s="9"/>
    </row>
    <row r="154" spans="2:38" x14ac:dyDescent="0.3">
      <c r="B154" s="214"/>
      <c r="C154" s="214"/>
      <c r="D154" s="214"/>
      <c r="E154" s="214"/>
      <c r="F154" s="214"/>
      <c r="G154" s="214"/>
      <c r="H154" s="214"/>
      <c r="I154" s="214"/>
      <c r="J154" s="214"/>
      <c r="K154" s="214"/>
      <c r="L154" s="214"/>
      <c r="M154" s="214"/>
      <c r="N154" s="214"/>
      <c r="O154" s="214"/>
      <c r="P154" s="214"/>
      <c r="Q154" s="214"/>
      <c r="R154" s="214"/>
      <c r="S154" s="214"/>
      <c r="T154" s="214"/>
      <c r="U154" s="214"/>
      <c r="V154" s="214"/>
      <c r="W154" s="214"/>
      <c r="X154" s="214"/>
      <c r="Y154" s="214"/>
      <c r="Z154" s="214"/>
      <c r="AA154" s="9"/>
      <c r="AB154" s="9"/>
      <c r="AC154" s="9"/>
      <c r="AD154" s="9"/>
      <c r="AE154" s="9"/>
      <c r="AF154" s="9"/>
      <c r="AG154" s="9"/>
      <c r="AH154" s="9"/>
      <c r="AI154" s="9"/>
      <c r="AJ154" s="9"/>
      <c r="AK154" s="9"/>
      <c r="AL154" s="9"/>
    </row>
    <row r="155" spans="2:38" x14ac:dyDescent="0.3">
      <c r="B155" s="214"/>
      <c r="C155" s="214"/>
      <c r="D155" s="214"/>
      <c r="E155" s="214"/>
      <c r="F155" s="214"/>
      <c r="G155" s="214"/>
      <c r="H155" s="214"/>
      <c r="I155" s="214"/>
      <c r="J155" s="214"/>
      <c r="K155" s="214"/>
      <c r="L155" s="214"/>
      <c r="M155" s="214"/>
      <c r="N155" s="214"/>
      <c r="O155" s="214"/>
      <c r="P155" s="214"/>
      <c r="Q155" s="214"/>
      <c r="R155" s="214"/>
      <c r="S155" s="214"/>
      <c r="T155" s="214"/>
      <c r="U155" s="214"/>
      <c r="V155" s="214"/>
      <c r="W155" s="214"/>
      <c r="X155" s="214"/>
      <c r="Y155" s="214"/>
      <c r="Z155" s="214"/>
      <c r="AA155" s="9"/>
      <c r="AB155" s="9"/>
      <c r="AC155" s="9"/>
      <c r="AD155" s="9"/>
      <c r="AE155" s="9"/>
      <c r="AF155" s="9"/>
      <c r="AG155" s="9"/>
      <c r="AH155" s="9"/>
      <c r="AI155" s="9"/>
      <c r="AJ155" s="9"/>
      <c r="AK155" s="9"/>
      <c r="AL155" s="9"/>
    </row>
    <row r="156" spans="2:38" x14ac:dyDescent="0.3">
      <c r="B156" s="214"/>
      <c r="C156" s="214"/>
      <c r="D156" s="214"/>
      <c r="E156" s="214"/>
      <c r="F156" s="214"/>
      <c r="G156" s="214"/>
      <c r="H156" s="214"/>
      <c r="I156" s="214"/>
      <c r="J156" s="214"/>
      <c r="K156" s="214"/>
      <c r="L156" s="214"/>
      <c r="M156" s="214"/>
      <c r="N156" s="214"/>
      <c r="O156" s="214"/>
      <c r="P156" s="214"/>
      <c r="Q156" s="214"/>
      <c r="R156" s="214"/>
      <c r="S156" s="214"/>
      <c r="T156" s="214"/>
      <c r="U156" s="214"/>
      <c r="V156" s="214"/>
      <c r="W156" s="214"/>
      <c r="X156" s="214"/>
      <c r="Y156" s="214"/>
      <c r="Z156" s="214"/>
      <c r="AA156" s="9"/>
      <c r="AB156" s="9"/>
      <c r="AC156" s="9"/>
      <c r="AD156" s="9"/>
      <c r="AE156" s="9"/>
      <c r="AF156" s="9"/>
      <c r="AG156" s="9"/>
      <c r="AH156" s="9"/>
      <c r="AI156" s="9"/>
      <c r="AJ156" s="9"/>
      <c r="AK156" s="9"/>
      <c r="AL156" s="9"/>
    </row>
    <row r="157" spans="2:38" x14ac:dyDescent="0.3">
      <c r="B157" s="214"/>
      <c r="C157" s="214"/>
      <c r="D157" s="214"/>
      <c r="E157" s="214"/>
      <c r="F157" s="214"/>
      <c r="G157" s="214"/>
      <c r="H157" s="214"/>
      <c r="I157" s="214"/>
      <c r="J157" s="214"/>
      <c r="K157" s="214"/>
      <c r="L157" s="214"/>
      <c r="M157" s="214"/>
      <c r="N157" s="214"/>
      <c r="O157" s="214"/>
      <c r="P157" s="214"/>
      <c r="Q157" s="214"/>
      <c r="R157" s="214"/>
      <c r="S157" s="214"/>
      <c r="T157" s="214"/>
      <c r="U157" s="214"/>
      <c r="V157" s="214"/>
      <c r="W157" s="214"/>
      <c r="X157" s="214"/>
      <c r="Y157" s="214"/>
      <c r="Z157" s="214"/>
      <c r="AA157" s="9"/>
      <c r="AB157" s="9"/>
      <c r="AC157" s="9"/>
      <c r="AD157" s="9"/>
      <c r="AE157" s="9"/>
      <c r="AF157" s="9"/>
      <c r="AG157" s="9"/>
      <c r="AH157" s="9"/>
      <c r="AI157" s="9"/>
      <c r="AJ157" s="9"/>
      <c r="AK157" s="9"/>
      <c r="AL157" s="9"/>
    </row>
    <row r="158" spans="2:38" x14ac:dyDescent="0.3">
      <c r="B158" s="214"/>
      <c r="C158" s="214"/>
      <c r="D158" s="214"/>
      <c r="E158" s="214"/>
      <c r="F158" s="214"/>
      <c r="G158" s="214"/>
      <c r="H158" s="214"/>
      <c r="I158" s="214"/>
      <c r="J158" s="214"/>
      <c r="K158" s="214"/>
      <c r="L158" s="214"/>
      <c r="M158" s="214"/>
      <c r="N158" s="214"/>
      <c r="O158" s="214"/>
      <c r="P158" s="214"/>
      <c r="Q158" s="214"/>
      <c r="R158" s="214"/>
      <c r="S158" s="214"/>
      <c r="T158" s="214"/>
      <c r="U158" s="214"/>
      <c r="V158" s="214"/>
      <c r="W158" s="214"/>
      <c r="X158" s="214"/>
      <c r="Y158" s="214"/>
      <c r="Z158" s="214"/>
      <c r="AA158" s="9"/>
      <c r="AB158" s="9"/>
      <c r="AC158" s="9"/>
      <c r="AD158" s="9"/>
      <c r="AE158" s="9"/>
      <c r="AF158" s="9"/>
      <c r="AG158" s="9"/>
      <c r="AH158" s="9"/>
      <c r="AI158" s="9"/>
      <c r="AJ158" s="9"/>
      <c r="AK158" s="9"/>
      <c r="AL158" s="9"/>
    </row>
    <row r="159" spans="2:38" x14ac:dyDescent="0.3">
      <c r="B159" s="214"/>
      <c r="C159" s="214"/>
      <c r="D159" s="214"/>
      <c r="E159" s="214"/>
      <c r="F159" s="214"/>
      <c r="G159" s="214"/>
      <c r="H159" s="214"/>
      <c r="I159" s="214"/>
      <c r="J159" s="214"/>
      <c r="K159" s="214"/>
      <c r="L159" s="214"/>
      <c r="M159" s="214"/>
      <c r="N159" s="214"/>
      <c r="O159" s="214"/>
      <c r="P159" s="214"/>
      <c r="Q159" s="214"/>
      <c r="R159" s="214"/>
      <c r="S159" s="214"/>
      <c r="T159" s="214"/>
      <c r="U159" s="214"/>
      <c r="V159" s="214"/>
      <c r="W159" s="214"/>
      <c r="X159" s="214"/>
      <c r="Y159" s="214"/>
      <c r="Z159" s="214"/>
      <c r="AA159" s="9"/>
      <c r="AB159" s="9"/>
      <c r="AC159" s="9"/>
      <c r="AD159" s="9"/>
      <c r="AE159" s="9"/>
      <c r="AF159" s="9"/>
      <c r="AG159" s="9"/>
      <c r="AH159" s="9"/>
      <c r="AI159" s="9"/>
      <c r="AJ159" s="9"/>
      <c r="AK159" s="9"/>
      <c r="AL159" s="9"/>
    </row>
    <row r="160" spans="2:38" x14ac:dyDescent="0.3">
      <c r="B160" s="214"/>
      <c r="C160" s="214"/>
      <c r="D160" s="214"/>
      <c r="E160" s="214"/>
      <c r="F160" s="214"/>
      <c r="G160" s="214"/>
      <c r="H160" s="214"/>
      <c r="I160" s="214"/>
      <c r="J160" s="214"/>
      <c r="K160" s="214"/>
      <c r="L160" s="214"/>
      <c r="M160" s="214"/>
      <c r="N160" s="214"/>
      <c r="O160" s="214"/>
      <c r="P160" s="214"/>
      <c r="Q160" s="214"/>
      <c r="R160" s="214"/>
      <c r="S160" s="214"/>
      <c r="T160" s="214"/>
      <c r="U160" s="214"/>
      <c r="V160" s="214"/>
      <c r="W160" s="214"/>
      <c r="X160" s="214"/>
      <c r="Y160" s="214"/>
      <c r="Z160" s="214"/>
      <c r="AA160" s="9"/>
      <c r="AB160" s="9"/>
      <c r="AC160" s="9"/>
      <c r="AD160" s="9"/>
      <c r="AE160" s="9"/>
      <c r="AF160" s="9"/>
      <c r="AG160" s="9"/>
      <c r="AH160" s="9"/>
      <c r="AI160" s="9"/>
      <c r="AJ160" s="9"/>
      <c r="AK160" s="9"/>
      <c r="AL160" s="9"/>
    </row>
    <row r="161" spans="2:38" ht="14.4" customHeight="1" x14ac:dyDescent="0.3">
      <c r="B161" s="214"/>
      <c r="C161" s="214"/>
      <c r="D161" s="214"/>
      <c r="E161" s="214"/>
      <c r="F161" s="214"/>
      <c r="G161" s="214"/>
      <c r="H161" s="214"/>
      <c r="I161" s="214"/>
      <c r="J161" s="214"/>
      <c r="K161" s="214"/>
      <c r="L161" s="214"/>
      <c r="M161" s="214"/>
      <c r="N161" s="214"/>
      <c r="O161" s="214"/>
      <c r="P161" s="214"/>
      <c r="Q161" s="214"/>
      <c r="R161" s="214"/>
      <c r="S161" s="214"/>
      <c r="T161" s="214"/>
      <c r="U161" s="214"/>
      <c r="V161" s="214"/>
      <c r="W161" s="214"/>
      <c r="X161" s="214"/>
      <c r="Y161" s="214"/>
      <c r="Z161" s="214"/>
      <c r="AA161" s="9"/>
      <c r="AB161" s="9"/>
      <c r="AC161" s="9"/>
      <c r="AD161" s="9"/>
      <c r="AE161" s="9"/>
      <c r="AF161" s="9"/>
      <c r="AG161" s="9"/>
      <c r="AH161" s="9"/>
      <c r="AI161" s="9"/>
      <c r="AJ161" s="9"/>
      <c r="AK161" s="9"/>
      <c r="AL161" s="9"/>
    </row>
    <row r="162" spans="2:38" x14ac:dyDescent="0.3">
      <c r="B162" s="214"/>
      <c r="C162" s="214"/>
      <c r="D162" s="214"/>
      <c r="E162" s="214"/>
      <c r="F162" s="214"/>
      <c r="G162" s="214"/>
      <c r="H162" s="214"/>
      <c r="I162" s="214"/>
      <c r="J162" s="214"/>
      <c r="K162" s="214"/>
      <c r="L162" s="214"/>
      <c r="M162" s="214"/>
      <c r="N162" s="214"/>
      <c r="O162" s="214"/>
      <c r="P162" s="214"/>
      <c r="Q162" s="214"/>
      <c r="R162" s="214"/>
      <c r="S162" s="214"/>
      <c r="T162" s="214"/>
      <c r="U162" s="214"/>
      <c r="V162" s="214"/>
      <c r="W162" s="214"/>
      <c r="X162" s="214"/>
      <c r="Y162" s="214"/>
      <c r="Z162" s="214"/>
      <c r="AA162" s="9"/>
      <c r="AB162" s="9"/>
      <c r="AC162" s="9"/>
      <c r="AD162" s="9"/>
      <c r="AE162" s="9"/>
      <c r="AF162" s="9"/>
      <c r="AG162" s="9"/>
      <c r="AH162" s="9"/>
      <c r="AI162" s="9"/>
      <c r="AJ162" s="9"/>
      <c r="AK162" s="9"/>
      <c r="AL162" s="9"/>
    </row>
    <row r="163" spans="2:38" x14ac:dyDescent="0.3">
      <c r="B163" s="214"/>
      <c r="C163" s="214"/>
      <c r="D163" s="214"/>
      <c r="E163" s="214"/>
      <c r="F163" s="214"/>
      <c r="G163" s="214"/>
      <c r="H163" s="214"/>
      <c r="I163" s="214"/>
      <c r="J163" s="214"/>
      <c r="K163" s="214"/>
      <c r="L163" s="214"/>
      <c r="M163" s="214"/>
      <c r="N163" s="214"/>
      <c r="O163" s="214"/>
      <c r="P163" s="214"/>
      <c r="Q163" s="214"/>
      <c r="R163" s="214"/>
      <c r="S163" s="214"/>
      <c r="T163" s="214"/>
      <c r="U163" s="214"/>
      <c r="V163" s="214"/>
      <c r="W163" s="214"/>
      <c r="X163" s="214"/>
      <c r="Y163" s="214"/>
      <c r="Z163" s="214"/>
      <c r="AA163" s="9"/>
      <c r="AB163" s="9"/>
      <c r="AC163" s="9"/>
      <c r="AD163" s="9"/>
      <c r="AE163" s="9"/>
      <c r="AF163" s="9"/>
      <c r="AG163" s="9"/>
      <c r="AH163" s="9"/>
      <c r="AI163" s="9"/>
      <c r="AJ163" s="9"/>
      <c r="AK163" s="9"/>
      <c r="AL163" s="9"/>
    </row>
    <row r="164" spans="2:38" x14ac:dyDescent="0.3">
      <c r="B164" s="214"/>
      <c r="C164" s="214"/>
      <c r="D164" s="214"/>
      <c r="E164" s="214"/>
      <c r="F164" s="214"/>
      <c r="G164" s="214"/>
      <c r="H164" s="214"/>
      <c r="I164" s="214"/>
      <c r="J164" s="214"/>
      <c r="K164" s="214"/>
      <c r="L164" s="214"/>
      <c r="M164" s="214"/>
      <c r="N164" s="214"/>
      <c r="O164" s="214"/>
      <c r="P164" s="214"/>
      <c r="Q164" s="214"/>
      <c r="R164" s="214"/>
      <c r="S164" s="214"/>
      <c r="T164" s="214"/>
      <c r="U164" s="214"/>
      <c r="V164" s="214"/>
      <c r="W164" s="214"/>
      <c r="X164" s="214"/>
      <c r="Y164" s="214"/>
      <c r="Z164" s="214"/>
      <c r="AA164" s="9"/>
      <c r="AB164" s="9"/>
      <c r="AC164" s="9"/>
      <c r="AD164" s="9"/>
      <c r="AE164" s="9"/>
      <c r="AF164" s="9"/>
      <c r="AG164" s="9"/>
      <c r="AH164" s="9"/>
      <c r="AI164" s="9"/>
      <c r="AJ164" s="9"/>
      <c r="AK164" s="9"/>
      <c r="AL164" s="9"/>
    </row>
    <row r="165" spans="2:38" x14ac:dyDescent="0.3">
      <c r="B165" s="214"/>
      <c r="C165" s="214"/>
      <c r="D165" s="214"/>
      <c r="E165" s="214"/>
      <c r="F165" s="214"/>
      <c r="G165" s="214"/>
      <c r="H165" s="214"/>
      <c r="I165" s="214"/>
      <c r="J165" s="214"/>
      <c r="K165" s="214"/>
      <c r="L165" s="214"/>
      <c r="M165" s="214"/>
      <c r="N165" s="214"/>
      <c r="O165" s="214"/>
      <c r="P165" s="214"/>
      <c r="Q165" s="214"/>
      <c r="R165" s="214"/>
      <c r="S165" s="214"/>
      <c r="T165" s="214"/>
      <c r="U165" s="214"/>
      <c r="V165" s="214"/>
      <c r="W165" s="214"/>
      <c r="X165" s="214"/>
      <c r="Y165" s="214"/>
      <c r="Z165" s="214"/>
      <c r="AA165" s="9"/>
      <c r="AB165" s="9"/>
      <c r="AC165" s="9"/>
      <c r="AD165" s="9"/>
      <c r="AE165" s="9"/>
      <c r="AF165" s="9"/>
      <c r="AG165" s="9"/>
      <c r="AH165" s="9"/>
      <c r="AI165" s="9"/>
      <c r="AJ165" s="9"/>
      <c r="AK165" s="9"/>
      <c r="AL165" s="9"/>
    </row>
    <row r="166" spans="2:38" ht="14.4" customHeight="1" x14ac:dyDescent="0.3">
      <c r="B166" s="214"/>
      <c r="C166" s="214"/>
      <c r="D166" s="214"/>
      <c r="E166" s="214"/>
      <c r="F166" s="214"/>
      <c r="G166" s="214"/>
      <c r="H166" s="214"/>
      <c r="I166" s="214"/>
      <c r="J166" s="214"/>
      <c r="K166" s="214"/>
      <c r="L166" s="214"/>
      <c r="M166" s="214"/>
      <c r="N166" s="214"/>
      <c r="O166" s="214"/>
      <c r="P166" s="214"/>
      <c r="Q166" s="214"/>
      <c r="R166" s="214"/>
      <c r="S166" s="214"/>
      <c r="T166" s="214"/>
      <c r="U166" s="214"/>
      <c r="V166" s="214"/>
      <c r="W166" s="214"/>
      <c r="X166" s="214"/>
      <c r="Y166" s="214"/>
      <c r="Z166" s="214"/>
      <c r="AA166" s="204"/>
      <c r="AB166" s="9"/>
      <c r="AC166" s="9"/>
      <c r="AD166" s="9"/>
      <c r="AE166" s="9"/>
      <c r="AF166" s="9"/>
      <c r="AG166" s="9"/>
      <c r="AH166" s="9"/>
      <c r="AI166" s="9"/>
      <c r="AJ166" s="9"/>
      <c r="AK166" s="9"/>
      <c r="AL166" s="9"/>
    </row>
    <row r="167" spans="2:38" x14ac:dyDescent="0.3">
      <c r="B167" s="214"/>
      <c r="C167" s="214"/>
      <c r="D167" s="214"/>
      <c r="E167" s="214"/>
      <c r="F167" s="214"/>
      <c r="G167" s="214"/>
      <c r="H167" s="214"/>
      <c r="I167" s="214"/>
      <c r="J167" s="214"/>
      <c r="K167" s="214"/>
      <c r="L167" s="214"/>
      <c r="M167" s="214"/>
      <c r="N167" s="214"/>
      <c r="O167" s="214"/>
      <c r="P167" s="214"/>
      <c r="Q167" s="214"/>
      <c r="R167" s="214"/>
      <c r="S167" s="214"/>
      <c r="T167" s="214"/>
      <c r="U167" s="214"/>
      <c r="V167" s="214"/>
      <c r="W167" s="214"/>
      <c r="X167" s="214"/>
      <c r="Y167" s="214"/>
      <c r="Z167" s="214"/>
      <c r="AA167" s="9"/>
      <c r="AB167" s="9"/>
      <c r="AC167" s="9"/>
      <c r="AD167" s="9"/>
      <c r="AE167" s="9"/>
      <c r="AF167" s="9"/>
      <c r="AG167" s="9"/>
      <c r="AH167" s="9"/>
      <c r="AI167" s="9"/>
      <c r="AJ167" s="9"/>
      <c r="AK167" s="9"/>
      <c r="AL167" s="9"/>
    </row>
    <row r="168" spans="2:38" x14ac:dyDescent="0.3">
      <c r="B168" s="214"/>
      <c r="C168" s="214"/>
      <c r="D168" s="214"/>
      <c r="E168" s="214"/>
      <c r="F168" s="214"/>
      <c r="G168" s="214"/>
      <c r="H168" s="214"/>
      <c r="I168" s="214"/>
      <c r="J168" s="214"/>
      <c r="K168" s="214"/>
      <c r="L168" s="214"/>
      <c r="M168" s="214"/>
      <c r="N168" s="214"/>
      <c r="O168" s="214"/>
      <c r="P168" s="214"/>
      <c r="Q168" s="214"/>
      <c r="R168" s="214"/>
      <c r="S168" s="214"/>
      <c r="T168" s="214"/>
      <c r="U168" s="214"/>
      <c r="V168" s="214"/>
      <c r="W168" s="214"/>
      <c r="X168" s="214"/>
      <c r="Y168" s="214"/>
      <c r="Z168" s="214"/>
      <c r="AA168" s="9"/>
      <c r="AB168" s="9"/>
      <c r="AC168" s="9"/>
      <c r="AD168" s="9"/>
      <c r="AE168" s="9"/>
      <c r="AF168" s="9"/>
      <c r="AG168" s="9"/>
      <c r="AH168" s="9"/>
      <c r="AI168" s="9"/>
      <c r="AJ168" s="9"/>
      <c r="AK168" s="9"/>
      <c r="AL168" s="9"/>
    </row>
    <row r="169" spans="2:38" x14ac:dyDescent="0.3">
      <c r="B169" s="214"/>
      <c r="C169" s="214"/>
      <c r="D169" s="214"/>
      <c r="E169" s="214"/>
      <c r="F169" s="214"/>
      <c r="G169" s="214"/>
      <c r="H169" s="214"/>
      <c r="I169" s="214"/>
      <c r="J169" s="214"/>
      <c r="K169" s="214"/>
      <c r="L169" s="214"/>
      <c r="M169" s="214"/>
      <c r="N169" s="214"/>
      <c r="O169" s="214"/>
      <c r="P169" s="214"/>
      <c r="Q169" s="214"/>
      <c r="R169" s="214"/>
      <c r="S169" s="214"/>
      <c r="T169" s="214"/>
      <c r="U169" s="214"/>
      <c r="V169" s="214"/>
      <c r="W169" s="214"/>
      <c r="X169" s="214"/>
      <c r="Y169" s="214"/>
      <c r="Z169" s="214"/>
      <c r="AA169" s="9"/>
      <c r="AB169" s="9"/>
      <c r="AC169" s="9"/>
      <c r="AD169" s="9"/>
      <c r="AE169" s="9"/>
      <c r="AF169" s="9"/>
      <c r="AG169" s="9"/>
      <c r="AH169" s="9"/>
      <c r="AI169" s="9"/>
      <c r="AJ169" s="9"/>
      <c r="AK169" s="9"/>
      <c r="AL169" s="9"/>
    </row>
    <row r="170" spans="2:38" x14ac:dyDescent="0.3">
      <c r="B170" s="214"/>
      <c r="C170" s="214"/>
      <c r="D170" s="214"/>
      <c r="E170" s="214"/>
      <c r="F170" s="214"/>
      <c r="G170" s="214"/>
      <c r="H170" s="214"/>
      <c r="I170" s="214"/>
      <c r="J170" s="214"/>
      <c r="K170" s="214"/>
      <c r="L170" s="214"/>
      <c r="M170" s="214"/>
      <c r="N170" s="214"/>
      <c r="O170" s="214"/>
      <c r="P170" s="214"/>
      <c r="Q170" s="214"/>
      <c r="R170" s="214"/>
      <c r="S170" s="214"/>
      <c r="T170" s="214"/>
      <c r="U170" s="214"/>
      <c r="V170" s="214"/>
      <c r="W170" s="214"/>
      <c r="X170" s="214"/>
      <c r="Y170" s="214"/>
      <c r="Z170" s="214"/>
      <c r="AA170" s="9"/>
      <c r="AB170" s="9"/>
      <c r="AC170" s="9"/>
      <c r="AD170" s="9"/>
      <c r="AE170" s="9"/>
      <c r="AF170" s="9"/>
      <c r="AG170" s="9"/>
      <c r="AH170" s="9"/>
      <c r="AI170" s="9"/>
      <c r="AJ170" s="9"/>
      <c r="AK170" s="9"/>
      <c r="AL170" s="9"/>
    </row>
    <row r="171" spans="2:38" x14ac:dyDescent="0.3">
      <c r="B171" s="214"/>
      <c r="C171" s="214"/>
      <c r="D171" s="214"/>
      <c r="E171" s="214"/>
      <c r="F171" s="214"/>
      <c r="G171" s="214"/>
      <c r="H171" s="214"/>
      <c r="I171" s="214"/>
      <c r="J171" s="214"/>
      <c r="K171" s="214"/>
      <c r="L171" s="214"/>
      <c r="M171" s="214"/>
      <c r="N171" s="214"/>
      <c r="O171" s="214"/>
      <c r="P171" s="214"/>
      <c r="Q171" s="214"/>
      <c r="R171" s="214"/>
      <c r="S171" s="214"/>
      <c r="T171" s="214"/>
      <c r="U171" s="214"/>
      <c r="V171" s="214"/>
      <c r="W171" s="214"/>
      <c r="X171" s="214"/>
      <c r="Y171" s="214"/>
      <c r="Z171" s="214"/>
      <c r="AA171" s="9"/>
      <c r="AB171" s="9"/>
      <c r="AC171" s="9"/>
      <c r="AD171" s="9"/>
      <c r="AE171" s="9"/>
      <c r="AF171" s="9"/>
      <c r="AG171" s="9"/>
      <c r="AH171" s="9"/>
      <c r="AI171" s="9"/>
      <c r="AJ171" s="9"/>
      <c r="AK171" s="9"/>
      <c r="AL171" s="9"/>
    </row>
    <row r="172" spans="2:38" x14ac:dyDescent="0.3">
      <c r="B172" s="214"/>
      <c r="C172" s="214"/>
      <c r="D172" s="214"/>
      <c r="E172" s="214"/>
      <c r="F172" s="214"/>
      <c r="G172" s="214"/>
      <c r="H172" s="214"/>
      <c r="I172" s="214"/>
      <c r="J172" s="214"/>
      <c r="K172" s="214"/>
      <c r="L172" s="214"/>
      <c r="M172" s="214"/>
      <c r="N172" s="214"/>
      <c r="O172" s="214"/>
      <c r="P172" s="214"/>
      <c r="Q172" s="214"/>
      <c r="R172" s="214"/>
      <c r="S172" s="214"/>
      <c r="T172" s="214"/>
      <c r="U172" s="214"/>
      <c r="V172" s="214"/>
      <c r="W172" s="214"/>
      <c r="X172" s="214"/>
      <c r="Y172" s="214"/>
      <c r="Z172" s="214"/>
      <c r="AA172" s="9"/>
      <c r="AB172" s="9"/>
      <c r="AC172" s="9"/>
      <c r="AD172" s="9"/>
      <c r="AE172" s="9"/>
      <c r="AF172" s="9"/>
      <c r="AG172" s="9"/>
      <c r="AH172" s="9"/>
      <c r="AI172" s="9"/>
      <c r="AJ172" s="9"/>
      <c r="AK172" s="9"/>
      <c r="AL172" s="9"/>
    </row>
    <row r="173" spans="2:38" x14ac:dyDescent="0.3">
      <c r="B173" s="214"/>
      <c r="C173" s="214"/>
      <c r="D173" s="214"/>
      <c r="E173" s="214"/>
      <c r="F173" s="214"/>
      <c r="G173" s="214"/>
      <c r="H173" s="214"/>
      <c r="I173" s="214"/>
      <c r="J173" s="214"/>
      <c r="K173" s="214"/>
      <c r="L173" s="214"/>
      <c r="M173" s="214"/>
      <c r="N173" s="214"/>
      <c r="O173" s="214"/>
      <c r="P173" s="214"/>
      <c r="Q173" s="214"/>
      <c r="R173" s="214"/>
      <c r="S173" s="214"/>
      <c r="T173" s="214"/>
      <c r="U173" s="214"/>
      <c r="V173" s="214"/>
      <c r="W173" s="214"/>
      <c r="X173" s="214"/>
      <c r="Y173" s="214"/>
      <c r="Z173" s="214"/>
      <c r="AA173" s="9"/>
      <c r="AB173" s="9"/>
      <c r="AC173" s="9"/>
      <c r="AD173" s="9"/>
      <c r="AE173" s="9"/>
      <c r="AF173" s="9"/>
      <c r="AG173" s="9"/>
      <c r="AH173" s="9"/>
      <c r="AI173" s="9"/>
      <c r="AJ173" s="9"/>
      <c r="AK173" s="9"/>
      <c r="AL173" s="9"/>
    </row>
    <row r="174" spans="2:38" x14ac:dyDescent="0.3">
      <c r="B174" s="214"/>
      <c r="C174" s="214"/>
      <c r="D174" s="214"/>
      <c r="E174" s="214"/>
      <c r="F174" s="214"/>
      <c r="G174" s="214"/>
      <c r="H174" s="214"/>
      <c r="I174" s="214"/>
      <c r="J174" s="214"/>
      <c r="K174" s="214"/>
      <c r="L174" s="214"/>
      <c r="M174" s="214"/>
      <c r="N174" s="214"/>
      <c r="O174" s="214"/>
      <c r="P174" s="214"/>
      <c r="Q174" s="214"/>
      <c r="R174" s="214"/>
      <c r="S174" s="214"/>
      <c r="T174" s="214"/>
      <c r="U174" s="214"/>
      <c r="V174" s="214"/>
      <c r="W174" s="214"/>
      <c r="X174" s="214"/>
      <c r="Y174" s="214"/>
      <c r="Z174" s="214"/>
      <c r="AA174" s="9"/>
      <c r="AB174" s="9"/>
      <c r="AC174" s="9"/>
      <c r="AD174" s="9"/>
      <c r="AE174" s="9"/>
      <c r="AF174" s="9"/>
      <c r="AG174" s="9"/>
      <c r="AH174" s="9"/>
      <c r="AI174" s="9"/>
      <c r="AJ174" s="9"/>
      <c r="AK174" s="9"/>
      <c r="AL174" s="9"/>
    </row>
    <row r="175" spans="2:38" x14ac:dyDescent="0.3">
      <c r="B175" s="214"/>
      <c r="C175" s="214"/>
      <c r="D175" s="214"/>
      <c r="E175" s="214"/>
      <c r="F175" s="214"/>
      <c r="G175" s="214"/>
      <c r="H175" s="214"/>
      <c r="I175" s="214"/>
      <c r="J175" s="214"/>
      <c r="K175" s="214"/>
      <c r="L175" s="214"/>
      <c r="M175" s="214"/>
      <c r="N175" s="214"/>
      <c r="O175" s="214"/>
      <c r="P175" s="214"/>
      <c r="Q175" s="214"/>
      <c r="R175" s="214"/>
      <c r="S175" s="214"/>
      <c r="T175" s="214"/>
      <c r="U175" s="214"/>
      <c r="V175" s="214"/>
      <c r="W175" s="214"/>
      <c r="X175" s="214"/>
      <c r="Y175" s="214"/>
      <c r="Z175" s="214"/>
      <c r="AA175" s="9"/>
      <c r="AB175" s="9"/>
      <c r="AC175" s="9"/>
      <c r="AD175" s="9"/>
      <c r="AE175" s="9"/>
      <c r="AF175" s="9"/>
      <c r="AG175" s="9"/>
      <c r="AH175" s="9"/>
      <c r="AI175" s="9"/>
      <c r="AJ175" s="9"/>
      <c r="AK175" s="9"/>
      <c r="AL175" s="9"/>
    </row>
  </sheetData>
  <mergeCells count="161">
    <mergeCell ref="A81:F83"/>
    <mergeCell ref="A84:F86"/>
    <mergeCell ref="G60:AL62"/>
    <mergeCell ref="G63:AL65"/>
    <mergeCell ref="G66:AL68"/>
    <mergeCell ref="G69:AL71"/>
    <mergeCell ref="G72:AL74"/>
    <mergeCell ref="G75:AL77"/>
    <mergeCell ref="G78:AL80"/>
    <mergeCell ref="G81:AL83"/>
    <mergeCell ref="AG23:AL23"/>
    <mergeCell ref="AG22:AL22"/>
    <mergeCell ref="AG21:AL21"/>
    <mergeCell ref="AG20:AL20"/>
    <mergeCell ref="AG19:AL19"/>
    <mergeCell ref="A60:F62"/>
    <mergeCell ref="A16:AL17"/>
    <mergeCell ref="AA19:AF19"/>
    <mergeCell ref="AA20:AF20"/>
    <mergeCell ref="AA21:AF21"/>
    <mergeCell ref="AA22:AF22"/>
    <mergeCell ref="AA23:AF23"/>
    <mergeCell ref="A89:M90"/>
    <mergeCell ref="A91:AL120"/>
    <mergeCell ref="G84:AL86"/>
    <mergeCell ref="AI47:AL47"/>
    <mergeCell ref="A58:M59"/>
    <mergeCell ref="AI54:AL54"/>
    <mergeCell ref="AI53:AL53"/>
    <mergeCell ref="AI52:AL52"/>
    <mergeCell ref="AI51:AL51"/>
    <mergeCell ref="AI50:AL50"/>
    <mergeCell ref="AI49:AL49"/>
    <mergeCell ref="U55:Y55"/>
    <mergeCell ref="U56:Y56"/>
    <mergeCell ref="Z56:AC56"/>
    <mergeCell ref="AD56:AH56"/>
    <mergeCell ref="AI56:AL56"/>
    <mergeCell ref="AI55:AL55"/>
    <mergeCell ref="AD51:AH51"/>
    <mergeCell ref="AD52:AH52"/>
    <mergeCell ref="AD53:AH53"/>
    <mergeCell ref="AD54:AH54"/>
    <mergeCell ref="AD55:AH55"/>
    <mergeCell ref="Z55:AC55"/>
    <mergeCell ref="U47:Y47"/>
    <mergeCell ref="U48:Y48"/>
    <mergeCell ref="U49:Y49"/>
    <mergeCell ref="U50:Y50"/>
    <mergeCell ref="U51:Y51"/>
    <mergeCell ref="U52:Y52"/>
    <mergeCell ref="U53:Y53"/>
    <mergeCell ref="U54:Y54"/>
    <mergeCell ref="Z54:AC54"/>
    <mergeCell ref="Z53:AC53"/>
    <mergeCell ref="Z52:AC52"/>
    <mergeCell ref="Z51:AC51"/>
    <mergeCell ref="Z50:AC50"/>
    <mergeCell ref="L56:O56"/>
    <mergeCell ref="L47:O47"/>
    <mergeCell ref="L48:O48"/>
    <mergeCell ref="L49:O49"/>
    <mergeCell ref="L50:O50"/>
    <mergeCell ref="L51:O51"/>
    <mergeCell ref="L52:O52"/>
    <mergeCell ref="L53:O53"/>
    <mergeCell ref="L54:O54"/>
    <mergeCell ref="L55:O55"/>
    <mergeCell ref="P55:T55"/>
    <mergeCell ref="P56:T56"/>
    <mergeCell ref="P47:T47"/>
    <mergeCell ref="P48:T48"/>
    <mergeCell ref="P49:T49"/>
    <mergeCell ref="P50:T50"/>
    <mergeCell ref="P51:T51"/>
    <mergeCell ref="P52:T52"/>
    <mergeCell ref="P53:T53"/>
    <mergeCell ref="P54:T54"/>
    <mergeCell ref="I55:K55"/>
    <mergeCell ref="I56:K56"/>
    <mergeCell ref="I47:K47"/>
    <mergeCell ref="I48:K48"/>
    <mergeCell ref="I49:K49"/>
    <mergeCell ref="I50:K50"/>
    <mergeCell ref="I51:K51"/>
    <mergeCell ref="I52:K52"/>
    <mergeCell ref="I53:K53"/>
    <mergeCell ref="I54:K54"/>
    <mergeCell ref="AD47:AH47"/>
    <mergeCell ref="AD48:AH48"/>
    <mergeCell ref="AD49:AH49"/>
    <mergeCell ref="AD50:AH50"/>
    <mergeCell ref="Z49:AC49"/>
    <mergeCell ref="Z48:AC48"/>
    <mergeCell ref="Z47:AC47"/>
    <mergeCell ref="AI48:AL48"/>
    <mergeCell ref="A51:H51"/>
    <mergeCell ref="A52:H52"/>
    <mergeCell ref="A53:H53"/>
    <mergeCell ref="A54:H54"/>
    <mergeCell ref="A55:H55"/>
    <mergeCell ref="A56:H56"/>
    <mergeCell ref="A45:M46"/>
    <mergeCell ref="A47:H47"/>
    <mergeCell ref="A48:H48"/>
    <mergeCell ref="A49:H49"/>
    <mergeCell ref="P24:S24"/>
    <mergeCell ref="T24:W24"/>
    <mergeCell ref="AA24:AF24"/>
    <mergeCell ref="AG24:AL24"/>
    <mergeCell ref="T22:W22"/>
    <mergeCell ref="P22:S22"/>
    <mergeCell ref="J22:O22"/>
    <mergeCell ref="D22:I22"/>
    <mergeCell ref="D23:I23"/>
    <mergeCell ref="J23:O23"/>
    <mergeCell ref="P23:S23"/>
    <mergeCell ref="T23:W23"/>
    <mergeCell ref="T20:W20"/>
    <mergeCell ref="AB7:AL8"/>
    <mergeCell ref="D21:I21"/>
    <mergeCell ref="J21:O21"/>
    <mergeCell ref="P21:S21"/>
    <mergeCell ref="T21:W21"/>
    <mergeCell ref="A20:C20"/>
    <mergeCell ref="A21:C21"/>
    <mergeCell ref="A22:C22"/>
    <mergeCell ref="A23:C23"/>
    <mergeCell ref="D20:I20"/>
    <mergeCell ref="P19:S19"/>
    <mergeCell ref="T19:W19"/>
    <mergeCell ref="J20:O20"/>
    <mergeCell ref="P20:S20"/>
    <mergeCell ref="A19:C19"/>
    <mergeCell ref="D19:I19"/>
    <mergeCell ref="J19:O19"/>
    <mergeCell ref="AH13:AL13"/>
    <mergeCell ref="AH11:AL11"/>
    <mergeCell ref="G9:M9"/>
    <mergeCell ref="G10:M10"/>
    <mergeCell ref="G11:M11"/>
    <mergeCell ref="G12:M12"/>
    <mergeCell ref="U13:X13"/>
    <mergeCell ref="AH9:AL9"/>
    <mergeCell ref="AH10:AL10"/>
    <mergeCell ref="U9:X9"/>
    <mergeCell ref="U10:X10"/>
    <mergeCell ref="U11:X11"/>
    <mergeCell ref="U12:X12"/>
    <mergeCell ref="A1:AL3"/>
    <mergeCell ref="A4:AL6"/>
    <mergeCell ref="A7:N8"/>
    <mergeCell ref="A75:F77"/>
    <mergeCell ref="A78:F80"/>
    <mergeCell ref="A72:F74"/>
    <mergeCell ref="A69:F71"/>
    <mergeCell ref="A66:F68"/>
    <mergeCell ref="A63:F65"/>
    <mergeCell ref="A50:H50"/>
    <mergeCell ref="G13:M13"/>
    <mergeCell ref="A14:N15"/>
  </mergeCells>
  <conditionalFormatting sqref="AH11">
    <cfRule type="cellIs" dxfId="2" priority="3" operator="lessThan">
      <formula>0</formula>
    </cfRule>
  </conditionalFormatting>
  <conditionalFormatting sqref="AH14:AI14">
    <cfRule type="cellIs" dxfId="1" priority="2" operator="lessThan">
      <formula>0</formula>
    </cfRule>
  </conditionalFormatting>
  <conditionalFormatting sqref="P21:W24">
    <cfRule type="expression" dxfId="0" priority="1">
      <formula>LEFT($P21, 3)="Net"</formula>
    </cfRule>
  </conditionalFormatting>
  <pageMargins left="0.4" right="0.4" top="0.75" bottom="0.75" header="0.3" footer="0.3"/>
  <pageSetup orientation="portrait" r:id="rId1"/>
  <headerFooter>
    <oddHeader>&amp;L&amp;G&amp;R&amp;D&amp;"-,Bold"
Wealth Management Option Strategy</oddHeader>
  </headerFooter>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96ECF-A9E7-471D-8FCF-A299668D4B45}">
  <sheetPr codeName="Sheet5">
    <tabColor rgb="FFFFC000"/>
  </sheetPr>
  <dimension ref="A1:AB31"/>
  <sheetViews>
    <sheetView workbookViewId="0">
      <selection activeCell="H4" sqref="H4"/>
    </sheetView>
  </sheetViews>
  <sheetFormatPr defaultColWidth="8.109375" defaultRowHeight="14.4" x14ac:dyDescent="0.3"/>
  <cols>
    <col min="1" max="1" width="16.6640625" bestFit="1" customWidth="1"/>
  </cols>
  <sheetData>
    <row r="1" spans="1:28" x14ac:dyDescent="0.3">
      <c r="F1" t="s">
        <v>156</v>
      </c>
    </row>
    <row r="2" spans="1:28" x14ac:dyDescent="0.3">
      <c r="A2" t="s">
        <v>86</v>
      </c>
      <c r="B2" t="s">
        <v>778</v>
      </c>
      <c r="F2" t="s">
        <v>120</v>
      </c>
      <c r="G2" t="s">
        <v>187</v>
      </c>
      <c r="H2" t="s">
        <v>186</v>
      </c>
      <c r="I2" t="s">
        <v>16</v>
      </c>
      <c r="J2" t="s">
        <v>127</v>
      </c>
      <c r="K2" t="s">
        <v>157</v>
      </c>
      <c r="L2" t="s">
        <v>158</v>
      </c>
      <c r="M2" t="s">
        <v>159</v>
      </c>
      <c r="N2" t="s">
        <v>160</v>
      </c>
      <c r="O2" t="s">
        <v>161</v>
      </c>
      <c r="P2" t="s">
        <v>198</v>
      </c>
      <c r="Q2" t="s">
        <v>162</v>
      </c>
      <c r="R2" t="s">
        <v>163</v>
      </c>
      <c r="S2" t="s">
        <v>164</v>
      </c>
      <c r="T2" t="s">
        <v>199</v>
      </c>
      <c r="U2" t="s">
        <v>200</v>
      </c>
      <c r="V2" t="s">
        <v>165</v>
      </c>
      <c r="W2" t="s">
        <v>166</v>
      </c>
      <c r="X2" t="s">
        <v>196</v>
      </c>
      <c r="Y2" t="s">
        <v>197</v>
      </c>
      <c r="Z2" t="s">
        <v>201</v>
      </c>
      <c r="AA2" t="s">
        <v>202</v>
      </c>
      <c r="AB2" t="s">
        <v>203</v>
      </c>
    </row>
    <row r="3" spans="1:28" x14ac:dyDescent="0.3">
      <c r="A3" t="s">
        <v>144</v>
      </c>
      <c r="B3" t="str" cm="1">
        <f t="array" ref="B3">IFERROR(_xll.BQL("MSFT US Equity", "name"),"")</f>
        <v>Microsoft Corp</v>
      </c>
      <c r="F3">
        <v>1</v>
      </c>
      <c r="G3" t="s">
        <v>1342</v>
      </c>
      <c r="H3" t="str">
        <f>IFERROR(_xll.BQL("MSFT US 03/20/26 P400 Equity","BB_DEFAULT_RISK_OBLIGOR_TICKER().value, strike_px().value, days_expire().value, expire_dt().value, ivol().value, px_bid().value, px_mid().value, px_ask().value, theta().value","showids=f","showheaders=n","cols=9;rows=1"),0)</f>
        <v>MSFT US Equity</v>
      </c>
      <c r="I3">
        <v>400</v>
      </c>
      <c r="J3">
        <v>67</v>
      </c>
      <c r="K3" s="4">
        <v>46101</v>
      </c>
      <c r="L3">
        <v>30.867871070404675</v>
      </c>
      <c r="M3">
        <v>2.17</v>
      </c>
      <c r="N3">
        <v>2.2050000000000001</v>
      </c>
      <c r="O3">
        <v>2.2400000000000002</v>
      </c>
      <c r="P3" s="5">
        <v>-6.3953496857677372E-2</v>
      </c>
      <c r="Q3" s="5">
        <f>IFERROR(VALUE(_xll.BDP("MSFT US 03/20/26 P400 Equity","DELTA_MID_RT")),0)</f>
        <v>-7.293199747800827E-2</v>
      </c>
      <c r="R3">
        <f>IFERROR(GetDivCapture(B16, B17, K3),0)</f>
        <v>0.91</v>
      </c>
      <c r="S3" s="8">
        <f>IFERROR(ABS(I3-B6)/B6,0)</f>
        <v>0.16541478884994154</v>
      </c>
      <c r="T3" s="8">
        <f>IFERROR(N3/B6,0)</f>
        <v>4.6006509764646977E-3</v>
      </c>
      <c r="U3" s="8">
        <f>IFERROR(IF(I3&lt;B6, (I3-B6+N3)/B6, (N3+I3-B6)/B6),0)</f>
        <v>-0.16081413787347684</v>
      </c>
      <c r="V3" s="8">
        <f>IFERROR(N3/I3,0)</f>
        <v>5.5125E-3</v>
      </c>
      <c r="W3" s="8">
        <f>IFERROR(V3*(365/J3),0)</f>
        <v>3.0030783582089552E-2</v>
      </c>
      <c r="X3" s="7">
        <f>IFERROR(IF(Leg1_Pos&lt;0, 1 - GetPoP("PUT", B6, I3, L3, J3, N3, BBG_RF, BBG_Div), GetPoP("PUT", B6, I3, L3, J3, N3, BBG_RF, BBG_Div)),0)</f>
        <v>8.3448930439375846E-2</v>
      </c>
      <c r="Y3" s="7">
        <f>IFERROR(IF(Leg1_Pos&lt;0, GetPoP("PUT", B6, I3, L3, J3, 0, BBG_RF, BBG_Div), 0),0)</f>
        <v>0</v>
      </c>
      <c r="Z3" s="7">
        <f>IFERROR(IF(Leg1_Pos&gt;0, GetLongPayoffProb("PUT", B6, I3, L3, J3, N3, 2, BBG_RF, BBG_Div), GetShortProfitProb("PUT", B6, I3, L3, J3, N3, 0.25, BBG_RF, BBG_Div)),0)</f>
        <v>7.7184106622311677E-2</v>
      </c>
      <c r="AA3" s="7">
        <f>IFERROR(IF(Leg1_Pos&gt;0, GetLongPayoffProb("PUT", B6, I3, L3, J3, N3, 3, BBG_RF, BBG_Div), GetShortProfitProb("PUT", B6, I3, L3, J3, N3, 0.5, BBG_RF, BBG_Div)),0)</f>
        <v>7.1251269600950184E-2</v>
      </c>
      <c r="AB3" s="7">
        <f>IFERROR(IF(Leg1_Pos&gt;0, GetLongPayoffProb("PUT", B6, I3, L3, J3, N3, 5, BBG_RF, BBG_Div), GetShortProfitProb("PUT", B6, I3, L3, J3, N3, 1, BBG_RF, BBG_Div)),0)</f>
        <v>6.0357413055648013E-2</v>
      </c>
    </row>
    <row r="4" spans="1:28" x14ac:dyDescent="0.3">
      <c r="A4" t="s">
        <v>143</v>
      </c>
      <c r="B4" t="str" cm="1">
        <f t="array" ref="B4">IFERROR(_xll.BQL("MSFT US Equity", "classification_name(classification_level=1, classification_scheme=GICS)"),"")</f>
        <v>Information Technology</v>
      </c>
      <c r="F4">
        <v>2</v>
      </c>
      <c r="G4" t="s">
        <v>1322</v>
      </c>
      <c r="H4" t="str">
        <f>IFERROR(_xll.BQL("MSFT US 03/20/26 P450 Equity","BB_DEFAULT_RISK_OBLIGOR_TICKER().value, strike_px().value, days_expire().value, expire_dt().value, ivol().value, px_bid().value, px_mid().value, px_ask().value, theta().value","showids=f","showheaders=n","cols=9;rows=1"),0)</f>
        <v>MSFT US Equity</v>
      </c>
      <c r="I4">
        <v>450</v>
      </c>
      <c r="J4">
        <v>67</v>
      </c>
      <c r="K4" s="4">
        <v>46101</v>
      </c>
      <c r="L4">
        <v>27.296921033326377</v>
      </c>
      <c r="M4">
        <v>9.5</v>
      </c>
      <c r="N4">
        <v>9.6</v>
      </c>
      <c r="O4">
        <v>9.6999999999999993</v>
      </c>
      <c r="P4" s="5">
        <v>-0.13578464747593877</v>
      </c>
      <c r="Q4" s="5">
        <f>IFERROR(VALUE(_xll.BDP("MSFT US 03/20/26 P450 Equity","DELTA_MID_RT")),0)</f>
        <v>-0.26335498690605164</v>
      </c>
      <c r="R4">
        <f>IFERROR(GetDivCapture(B16, B17, K4),0)</f>
        <v>0.91</v>
      </c>
      <c r="S4" s="8">
        <f>IFERROR(ABS(I4-B6)/B6,0)</f>
        <v>6.109163745618422E-2</v>
      </c>
      <c r="T4" s="8">
        <f>IFERROR(N4/B6,0)</f>
        <v>2.0030045067601403E-2</v>
      </c>
      <c r="U4" s="8">
        <f>IFERROR(IF(I4&lt;B6, (I4-B6+N4)/B6, (N4+I4-B6)/B6),0)</f>
        <v>-4.106159238858282E-2</v>
      </c>
      <c r="V4" s="8">
        <f>IFERROR(N4/I4,0)</f>
        <v>2.1333333333333333E-2</v>
      </c>
      <c r="W4" s="8">
        <f>IFERROR(V4*(365/J4),0)</f>
        <v>0.11621890547263682</v>
      </c>
      <c r="X4" s="7">
        <f>IFERROR(IF(Leg2_Pos&lt;0, 1 - GetPoP("PUT", B6, I4, L4, J4, N4, BBG_RF, BBG_Div), GetPoP("PUT", B6, I4, L4, J4, N4, BBG_RF, BBG_Div)),0)</f>
        <v>0.76095304485926696</v>
      </c>
      <c r="Y4" s="7">
        <f>IFERROR(IF(Leg2_Pos&lt;0, GetPoP("PUT", B6, I4, L4, J4, 0, BBG_RF, BBG_Div), 0),0)</f>
        <v>0.29979665142052081</v>
      </c>
      <c r="Z4" s="7">
        <f>IFERROR(IF(Leg2_Pos&gt;0, GetLongPayoffProb("PUT", B6, I4, L4, J4, N4, 2, BBG_RF, BBG_Div), GetShortProfitProb("PUT", B6, I4, L4, J4, N4, 0.25, BBG_RF, BBG_Div)),0)</f>
        <v>0.7463030061853515</v>
      </c>
      <c r="AA4" s="7">
        <f>IFERROR(IF(Leg2_Pos&gt;0, GetLongPayoffProb("PUT", B6, I4, L4, J4, N4, 3, BBG_RF, BBG_Div), GetShortProfitProb("PUT", B6, I4, L4, J4, N4, 0.5, BBG_RF, BBG_Div)),0)</f>
        <v>0.73127759259940195</v>
      </c>
      <c r="AB4" s="7">
        <f>IFERROR(IF(Leg2_Pos&gt;0, GetLongPayoffProb("PUT", B6, I4, L4, J4, N4, 5, BBG_RF, BBG_Div), GetShortProfitProb("PUT", B6, I4, L4, J4, N4, 1, BBG_RF, BBG_Div)),0)</f>
        <v>0.70020334857947919</v>
      </c>
    </row>
    <row r="5" spans="1:28" x14ac:dyDescent="0.3">
      <c r="A5" t="s">
        <v>145</v>
      </c>
      <c r="B5" t="str" cm="1">
        <f t="array" ref="B5">IFERROR(_xll.BQL("MSFT US Equity", "classification_name(classification_level=2, classification_scheme=GICS)"),"")</f>
        <v>Software &amp; Services</v>
      </c>
      <c r="F5">
        <v>3</v>
      </c>
      <c r="G5" t="s">
        <v>1343</v>
      </c>
      <c r="H5" t="str">
        <f>IFERROR(_xll.BQL("MSFT US 03/20/26 C500 Equity","BB_DEFAULT_RISK_OBLIGOR_TICKER().value, strike_px().value, days_expire().value, expire_dt().value, ivol().value, px_bid().value, px_mid().value, px_ask().value, theta().value","showids=f","showheaders=n","cols=9;rows=1"),0)</f>
        <v>MSFT US Equity</v>
      </c>
      <c r="I5">
        <v>500</v>
      </c>
      <c r="J5">
        <v>67</v>
      </c>
      <c r="K5" s="4">
        <v>46101</v>
      </c>
      <c r="L5">
        <v>25.282823477351947</v>
      </c>
      <c r="M5">
        <v>13.5</v>
      </c>
      <c r="N5">
        <v>13.574999999999999</v>
      </c>
      <c r="O5">
        <v>13.65</v>
      </c>
      <c r="P5" s="5">
        <v>-0.15617312414408602</v>
      </c>
      <c r="Q5" s="5">
        <f>IFERROR(VALUE(_xll.BDP("MSFT US 03/20/26 C500 Equity","DELTA_MID_RT")),0)</f>
        <v>0.39017599821090698</v>
      </c>
      <c r="R5">
        <f>IFERROR(GetDivCapture(B16, B17, K5),0)</f>
        <v>0.91</v>
      </c>
      <c r="S5" s="8">
        <f>IFERROR(ABS(I5-B6)/B6,0)</f>
        <v>4.3231513937573088E-2</v>
      </c>
      <c r="T5" s="8">
        <f>IFERROR(N5/B6,0)</f>
        <v>2.8323735603405106E-2</v>
      </c>
      <c r="U5" s="8">
        <f>IFERROR(IF(I5&lt;B6, (I5-B6+N5)/B6, (N5+I5-B6)/B6),0)</f>
        <v>7.1555249540978291E-2</v>
      </c>
      <c r="V5" s="8">
        <f>IFERROR(N5/I5,0)</f>
        <v>2.7149999999999997E-2</v>
      </c>
      <c r="W5" s="8">
        <f>IFERROR(V5*(365/J5),0)</f>
        <v>0.14790671641791042</v>
      </c>
      <c r="X5" s="7">
        <f>IFERROR(IF(Leg3_Pos&lt;0, 1 - GetPoP("CALL", B6, I5, L5, J5, N5, BBG_RF, BBG_Div), GetPoP("CALL", B6, I5, L5, J5, N5, BBG_RF, BBG_Div)),0)</f>
        <v>0.74027066963697641</v>
      </c>
      <c r="Y5" s="7">
        <f>IFERROR(IF(Leg3_Pos&lt;0, GetPoP("CALL", B6, I5, L5, J5, 0, BBG_RF, BBG_Div), 0),0)</f>
        <v>0.34572778747621985</v>
      </c>
      <c r="Z5" s="7">
        <f>IFERROR(IF(Leg3_Pos&gt;0, GetLongPayoffProb("CALL", B6, I5, L5, J5, N5, 2, BBG_RF, BBG_Div), GetShortProfitProb("CALL", B6, I5, L5, J5, N5, 0.25, BBG_RF, BBG_Div)),0)</f>
        <v>0.72004442310138173</v>
      </c>
      <c r="AA5" s="7">
        <f>IFERROR(IF(Leg3_Pos&gt;0, GetLongPayoffProb("CALL", B6, I5, L5, J5, N5, 3, BBG_RF, BBG_Div), GetShortProfitProb("CALL", B6, I5, L5, J5, N5, 0.5, BBG_RF, BBG_Div)),0)</f>
        <v>0.69894142282133764</v>
      </c>
      <c r="AB5" s="7">
        <f>IFERROR(IF(Leg3_Pos&gt;0, GetLongPayoffProb("CALL", B6, I5, L5, J5, N5, 5, BBG_RF, BBG_Div), GetShortProfitProb("CALL", B6, I5, L5, J5, N5, 1, BBG_RF, BBG_Div)),0)</f>
        <v>0.65427221252378009</v>
      </c>
    </row>
    <row r="6" spans="1:28" x14ac:dyDescent="0.3">
      <c r="A6" t="s">
        <v>142</v>
      </c>
      <c r="B6" s="5" cm="1">
        <f t="array" ref="B6">IFERROR(VALUE(_xll.BQL("MSFT US Equity", "px_last(fill=PREV).value")),"")</f>
        <v>479.28</v>
      </c>
      <c r="F6">
        <v>4</v>
      </c>
      <c r="G6" t="s">
        <v>1344</v>
      </c>
      <c r="H6" t="str">
        <f>IFERROR(_xll.BQL("MSFT US 03/20/26 C550 Equity","BB_DEFAULT_RISK_OBLIGOR_TICKER().value, strike_px().value, days_expire().value, expire_dt().value, ivol().value, px_bid().value, px_mid().value, px_ask().value, theta().value","showids=f","showheaders=n","cols=9;rows=1"),0)</f>
        <v>MSFT US Equity</v>
      </c>
      <c r="I6">
        <v>550</v>
      </c>
      <c r="J6">
        <v>67</v>
      </c>
      <c r="K6" s="4">
        <v>46101</v>
      </c>
      <c r="L6">
        <v>24.561814144131169</v>
      </c>
      <c r="M6">
        <v>2.82</v>
      </c>
      <c r="N6">
        <v>2.855</v>
      </c>
      <c r="O6">
        <v>2.89</v>
      </c>
      <c r="P6" s="5">
        <v>-7.7250792604053764E-2</v>
      </c>
      <c r="Q6" s="5">
        <f>IFERROR(VALUE(_xll.BDP("MSFT US 03/20/26 C550 Equity","DELTA_MID_RT")),0)</f>
        <v>0.11820600181818008</v>
      </c>
      <c r="R6">
        <f>IFERROR(GetDivCapture(B16, B17, K6),0)</f>
        <v>0.91</v>
      </c>
      <c r="S6" s="8">
        <f>IFERROR(ABS(I6-B6)/B6,0)</f>
        <v>0.14755466533133038</v>
      </c>
      <c r="T6" s="8">
        <f>IFERROR(N6/B6,0)</f>
        <v>5.9568519445835424E-3</v>
      </c>
      <c r="U6" s="8">
        <f>IFERROR(IF(I6&lt;B6, (I6-B6+N6)/B6, (N6+I6-B6)/B6),0)</f>
        <v>0.15351151727591397</v>
      </c>
      <c r="V6" s="8">
        <f>IFERROR(N6/I6,0)</f>
        <v>5.1909090909090906E-3</v>
      </c>
      <c r="W6" s="8">
        <f>IFERROR(V6*(365/J6),0)</f>
        <v>2.8278833107191315E-2</v>
      </c>
      <c r="X6" s="7">
        <f>IFERROR(IF(Leg4_Pos&lt;0, 1 - GetPoP("CALL", B6, I6, L6, J6, N6, BBG_RF, BBG_Div), GetPoP("CALL", B6, I6, L6, J6, N6, BBG_RF, BBG_Div)),0)</f>
        <v>8.6866867892848254E-2</v>
      </c>
      <c r="Y6" s="7">
        <f>IFERROR(IF(Leg4_Pos&lt;0, GetPoP("CALL", B6, I6, L6, J6, 0, BBG_RF, BBG_Div), 0),0)</f>
        <v>0</v>
      </c>
      <c r="Z6" s="7">
        <f>IFERROR(IF(Leg4_Pos&gt;0, GetLongPayoffProb("CALL", B6, I6, L6, J6, N6, 2, BBG_RF, BBG_Div), GetShortProfitProb("CALL", B6, I6, L6, J6, N6, 0.25, BBG_RF, BBG_Div)),0)</f>
        <v>7.9380504041959857E-2</v>
      </c>
      <c r="AA6" s="7">
        <f>IFERROR(IF(Leg4_Pos&gt;0, GetLongPayoffProb("CALL", B6, I6, L6, J6, N6, 3, BBG_RF, BBG_Div), GetShortProfitProb("CALL", B6, I6, L6, J6, N6, 0.5, BBG_RF, BBG_Div)),0)</f>
        <v>7.2427597963586582E-2</v>
      </c>
      <c r="AB6" s="7">
        <f>IFERROR(IF(Leg4_Pos&gt;0, GetLongPayoffProb("CALL", B6, I6, L6, J6, N6, 5, BBG_RF, BBG_Div), GetShortProfitProb("CALL", B6, I6, L6, J6, N6, 1, BBG_RF, BBG_Div)),0)</f>
        <v>6.0021092589595405E-2</v>
      </c>
    </row>
    <row r="7" spans="1:28" x14ac:dyDescent="0.3">
      <c r="A7" t="s">
        <v>138</v>
      </c>
      <c r="B7" s="5" cm="1">
        <f t="array" ref="B7">IFERROR(VALUE(_xll.BQL("MSFT US Equity", "pct_chg(px_last(dates=range(-1D, 0D), fill='PREV')).value")),"")</f>
        <v>0</v>
      </c>
    </row>
    <row r="8" spans="1:28" x14ac:dyDescent="0.3">
      <c r="A8" t="s">
        <v>139</v>
      </c>
      <c r="B8" s="5" cm="1">
        <f t="array" ref="B8">IFERROR(VALUE(_xll.BQL("MSFT US Equity", "pct_chg(px_last(dates=range(-5D, 0D), fill='PREV')).value")),"")</f>
        <v>-0.8666514985418029</v>
      </c>
    </row>
    <row r="9" spans="1:28" x14ac:dyDescent="0.3">
      <c r="A9" t="s">
        <v>140</v>
      </c>
      <c r="B9" s="5" cm="1">
        <f t="array" ref="B9">IFERROR(VALUE(_xll.BQL("MSFT US Equity", "pct_chg(px_last(dates=range(-1M, 0D), fill='PREV')).value")),"")</f>
        <v>0.15672998558084134</v>
      </c>
    </row>
    <row r="10" spans="1:28" x14ac:dyDescent="0.3">
      <c r="A10" t="s">
        <v>141</v>
      </c>
      <c r="B10" s="5" cm="1">
        <f t="array" ref="B10">IFERROR(VALUE(_xll.BQL("MSFT US Equity", "pct_chg(px_last(dates=range(-3M, 0D), fill='PREV')).value")),"")</f>
        <v>-6.200093940817287</v>
      </c>
    </row>
    <row r="11" spans="1:28" x14ac:dyDescent="0.3">
      <c r="A11" t="s">
        <v>167</v>
      </c>
      <c r="B11" s="5" cm="1">
        <f t="array" ref="B11">IFERROR(VALUE(_xll.BQL("MSFT US Equity", "current_trr_ytd().value")),"")</f>
        <v>-0.89739809999999998</v>
      </c>
    </row>
    <row r="12" spans="1:28" x14ac:dyDescent="0.3">
      <c r="A12" t="s">
        <v>149</v>
      </c>
      <c r="B12" s="5" cm="1">
        <f t="array" ref="B12">IFERROR(VALUE(_xll.BQL("MSFT US Equity", "max(px_high(dates=range(-52W, 0D))).value")),"")</f>
        <v>555.45000000000005</v>
      </c>
    </row>
    <row r="13" spans="1:28" x14ac:dyDescent="0.3">
      <c r="A13" t="s">
        <v>150</v>
      </c>
      <c r="B13" s="5" cm="1">
        <f t="array" ref="B13">IFERROR(VALUE(_xll.BQL("MSFT US Equity", "min(px_low(dates=range(-52W, 0D))).value")),"")</f>
        <v>344.79</v>
      </c>
    </row>
    <row r="14" spans="1:28" x14ac:dyDescent="0.3">
      <c r="A14" t="s">
        <v>155</v>
      </c>
      <c r="B14" s="5" cm="1">
        <f t="array" ref="B14">IFERROR(VALUE(_xll.BQL("MSFT US Equity", "vol_percentile().value")),"")</f>
        <v>69.268623790938364</v>
      </c>
    </row>
    <row r="15" spans="1:28" x14ac:dyDescent="0.3">
      <c r="A15" t="s">
        <v>147</v>
      </c>
      <c r="B15" s="5" cm="1">
        <f t="array" ref="B15">IFERROR(VALUE(_xll.BQL("MSFT US Equity", "eqy_dvd_yld_ind().value")), 0)</f>
        <v>0.75947256403442143</v>
      </c>
    </row>
    <row r="16" spans="1:28" x14ac:dyDescent="0.3">
      <c r="A16" t="s">
        <v>152</v>
      </c>
      <c r="B16" s="4">
        <f>IFERROR(_xll.BDS("MSFT US Equity","BDVD_PR_EX_DTS_DVD_AMTS_W_ANN","startcol=1","endcol=1","startrow=1","endrow=1","headers=n"),"")</f>
        <v>46072</v>
      </c>
    </row>
    <row r="17" spans="1:8" x14ac:dyDescent="0.3">
      <c r="A17" t="s">
        <v>153</v>
      </c>
      <c r="B17">
        <f>IFERROR(VALUE(_xll.BDS("MSFT US Equity","BDVD_PR_EX_DTS_DVD_AMTS_W_ANN","startcol=2","endcol=2","startrow=1","endrow=1","headers=n")), 0)</f>
        <v>0.91</v>
      </c>
    </row>
    <row r="18" spans="1:8" x14ac:dyDescent="0.3">
      <c r="A18" t="s">
        <v>154</v>
      </c>
      <c r="B18" s="3" t="str">
        <f>IFERROR(_xll.BDS("MSFT US Equity","BDVD_PR_EX_DTS_DVD_AMTS_W_ANN","startcol=3","endcol=3","startrow=1","endrow=1","headers=n"),"")</f>
        <v>Announced</v>
      </c>
    </row>
    <row r="19" spans="1:8" x14ac:dyDescent="0.3">
      <c r="A19" t="s">
        <v>151</v>
      </c>
      <c r="B19" s="4" cm="1">
        <f t="array" ref="B19">IFERROR(_xll.BQL("MSFT US Equity", "expected_report_dt"),"")</f>
        <v>46050</v>
      </c>
    </row>
    <row r="20" spans="1:8" x14ac:dyDescent="0.3">
      <c r="A20" t="s">
        <v>146</v>
      </c>
      <c r="B20" s="3" t="str" cm="1">
        <f t="array" ref="B20">IFERROR(IF(_xll.BDP("MSFT US Equity","BEST_ANALYST_REC","BE998=UBS")="#N/A N/A","",_xll.BDP("MSFT US Equity","BEST_ANALYST_REC","BE998=UBS")),"")</f>
        <v>buy</v>
      </c>
    </row>
    <row r="21" spans="1:8" x14ac:dyDescent="0.3">
      <c r="A21" t="s">
        <v>148</v>
      </c>
      <c r="B21" cm="1">
        <f t="array" ref="B21">IFERROR(IF(_xll.BDP("MSFT US Equity","BEST_TARGET_PRICE","BE998=UBS")="#N/A N/A","",_xll.BDP("MSFT US Equity","BEST_TARGET_PRICE","BE998=UBS")),"")</f>
        <v>650</v>
      </c>
    </row>
    <row r="22" spans="1:8" x14ac:dyDescent="0.3">
      <c r="A22" t="s">
        <v>188</v>
      </c>
      <c r="B22" s="5">
        <f>IFERROR(VALUE(_xll.BDP("USGG3M Index", "PX_LAST")),0)</f>
        <v>3.5918000000000001</v>
      </c>
    </row>
    <row r="23" spans="1:8" x14ac:dyDescent="0.3">
      <c r="G23" t="s">
        <v>1305</v>
      </c>
    </row>
    <row r="24" spans="1:8" x14ac:dyDescent="0.3">
      <c r="F24" t="s">
        <v>120</v>
      </c>
      <c r="G24" s="1" t="s">
        <v>1306</v>
      </c>
    </row>
    <row r="25" spans="1:8" x14ac:dyDescent="0.3">
      <c r="A25" t="s">
        <v>223</v>
      </c>
      <c r="B25" t="str" cm="1">
        <f t="array" ref="B25">_xll.BDP(B2,"Ticker")</f>
        <v>MSFT</v>
      </c>
      <c r="F25">
        <v>1</v>
      </c>
      <c r="G25" t="str" cm="1">
        <f t="array" ref="G25">IF(G3&lt;&gt;"",_xll.BQL(G3, "exer_typ"),"")</f>
        <v>American</v>
      </c>
    </row>
    <row r="26" spans="1:8" x14ac:dyDescent="0.3">
      <c r="A26" t="s">
        <v>224</v>
      </c>
      <c r="B26" t="str" cm="1">
        <f t="array" ref="B26">_xll.BDP(B2,"Short_Name")</f>
        <v>MICROSOFT CORP</v>
      </c>
      <c r="F26">
        <v>2</v>
      </c>
      <c r="G26" t="str" cm="1">
        <f t="array" ref="G26">IF(G4&lt;&gt;"",_xll.BQL(G4, "exer_typ"),"")</f>
        <v>American</v>
      </c>
    </row>
    <row r="27" spans="1:8" x14ac:dyDescent="0.3">
      <c r="A27" t="s">
        <v>820</v>
      </c>
      <c r="B27" t="str" cm="1">
        <f t="array" ref="B27">_xll.BQL(B2,"Security_Typ")</f>
        <v>Common Stock</v>
      </c>
      <c r="F27">
        <v>3</v>
      </c>
      <c r="G27" t="str" cm="1">
        <f t="array" ref="G27">IF(G5&lt;&gt;"",_xll.BQL(G5, "exer_typ"),"")</f>
        <v>American</v>
      </c>
    </row>
    <row r="28" spans="1:8" x14ac:dyDescent="0.3">
      <c r="A28" t="s">
        <v>819</v>
      </c>
      <c r="B28" t="str" cm="1">
        <f t="array" ref="B28">_xll.BQL(B2,"Fund_Typ")</f>
        <v>#N/A</v>
      </c>
      <c r="F28">
        <v>4</v>
      </c>
      <c r="G28" t="str" cm="1">
        <f t="array" ref="G28">IF(G6&lt;&gt;"",_xll.BQL(G6, "exer_typ"),"")</f>
        <v>American</v>
      </c>
      <c r="H28" s="145" t="str" cm="1">
        <f t="array" ref="H28">IF(G7&lt;&gt;"",_xll.BQL(G7, "exer_typ"),"")</f>
        <v/>
      </c>
    </row>
    <row r="29" spans="1:8" x14ac:dyDescent="0.3">
      <c r="A29" t="s">
        <v>822</v>
      </c>
      <c r="B29" t="str" cm="1">
        <f t="array" ref="B29">_xll.BQL(B2,"Fund_Leverage")</f>
        <v>#N/A</v>
      </c>
    </row>
    <row r="30" spans="1:8" x14ac:dyDescent="0.3">
      <c r="A30" t="s">
        <v>821</v>
      </c>
      <c r="B30" t="str" cm="1">
        <f t="array" ref="B30">_xll.BQL(B2,"Fund_Leverage_Type")</f>
        <v>#N/A</v>
      </c>
    </row>
    <row r="31" spans="1:8" x14ac:dyDescent="0.3">
      <c r="A31" t="s">
        <v>823</v>
      </c>
      <c r="B31" t="str" cm="1">
        <f t="array" ref="B31">_xll.BQL(B2,"INDX_DATA_TYPE")</f>
        <v>#N/A</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ImportBloombergData">
                <anchor moveWithCells="1" sizeWithCells="1">
                  <from>
                    <xdr:col>6</xdr:col>
                    <xdr:colOff>7620</xdr:colOff>
                    <xdr:row>14</xdr:row>
                    <xdr:rowOff>167640</xdr:rowOff>
                  </from>
                  <to>
                    <xdr:col>6</xdr:col>
                    <xdr:colOff>1455420</xdr:colOff>
                    <xdr:row>17</xdr:row>
                    <xdr:rowOff>15240</xdr:rowOff>
                  </to>
                </anchor>
              </controlPr>
            </control>
          </mc:Choice>
        </mc:AlternateContent>
        <mc:AlternateContent xmlns:mc="http://schemas.openxmlformats.org/markup-compatibility/2006">
          <mc:Choice Requires="x14">
            <control shapeId="7171" r:id="rId4" name="Button 3">
              <controlPr defaultSize="0" print="0" autoFill="0" autoPict="0" macro="[0]!ForceBBGRefreshOnly">
                <anchor moveWithCells="1" sizeWithCells="1">
                  <from>
                    <xdr:col>3</xdr:col>
                    <xdr:colOff>259080</xdr:colOff>
                    <xdr:row>14</xdr:row>
                    <xdr:rowOff>175260</xdr:rowOff>
                  </from>
                  <to>
                    <xdr:col>5</xdr:col>
                    <xdr:colOff>502920</xdr:colOff>
                    <xdr:row>17</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CF982-5D6A-4013-90F0-D81F31EA962D}">
  <sheetPr codeName="Sheet3">
    <tabColor rgb="FFFFC000"/>
  </sheetPr>
  <dimension ref="A1:AB306"/>
  <sheetViews>
    <sheetView topLeftCell="J1" workbookViewId="0">
      <pane ySplit="1" topLeftCell="A2" activePane="bottomLeft" state="frozen"/>
      <selection pane="bottomLeft" activeCell="Y2" sqref="Y2"/>
    </sheetView>
  </sheetViews>
  <sheetFormatPr defaultRowHeight="14.4" x14ac:dyDescent="0.3"/>
  <cols>
    <col min="1" max="1" width="9.33203125" bestFit="1" customWidth="1"/>
    <col min="2" max="2" width="14.5546875" bestFit="1" customWidth="1"/>
    <col min="3" max="3" width="9" bestFit="1" customWidth="1"/>
    <col min="4" max="6" width="14.5546875" bestFit="1" customWidth="1"/>
    <col min="28" max="28" width="10.33203125" bestFit="1" customWidth="1"/>
  </cols>
  <sheetData>
    <row r="1" spans="1:28" x14ac:dyDescent="0.3">
      <c r="A1" t="s">
        <v>88</v>
      </c>
      <c r="B1" t="s">
        <v>133</v>
      </c>
      <c r="C1" t="s">
        <v>132</v>
      </c>
      <c r="D1" t="s">
        <v>134</v>
      </c>
      <c r="E1" t="s">
        <v>481</v>
      </c>
      <c r="F1" t="s">
        <v>482</v>
      </c>
      <c r="L1" s="1"/>
      <c r="Z1">
        <v>324</v>
      </c>
      <c r="AB1" s="6">
        <v>46038</v>
      </c>
    </row>
    <row r="2" spans="1:28" x14ac:dyDescent="0.3">
      <c r="A2" s="91">
        <v>0</v>
      </c>
      <c r="B2" s="91">
        <v>-3213</v>
      </c>
      <c r="C2" s="91">
        <v>-51000</v>
      </c>
      <c r="D2" s="91">
        <v>-54213</v>
      </c>
      <c r="E2" s="91">
        <v>-3213</v>
      </c>
      <c r="F2" s="91">
        <v>-54213</v>
      </c>
      <c r="Z2">
        <v>588</v>
      </c>
      <c r="AB2" s="6">
        <v>46073</v>
      </c>
    </row>
    <row r="3" spans="1:28" x14ac:dyDescent="0.3">
      <c r="A3" s="91">
        <v>4.79</v>
      </c>
      <c r="B3" s="91">
        <v>-3212.9999999999982</v>
      </c>
      <c r="C3" s="91">
        <v>-50281.5</v>
      </c>
      <c r="D3" s="91">
        <v>-53494.5</v>
      </c>
      <c r="E3" s="91">
        <v>-3212.9999999999982</v>
      </c>
      <c r="F3" s="91">
        <v>-53494.5</v>
      </c>
      <c r="Z3" t="b">
        <v>0</v>
      </c>
      <c r="AB3" s="6">
        <v>46101</v>
      </c>
    </row>
    <row r="4" spans="1:28" x14ac:dyDescent="0.3">
      <c r="A4" s="91">
        <v>9.59</v>
      </c>
      <c r="B4" s="91">
        <v>-3213.0000000000027</v>
      </c>
      <c r="C4" s="91">
        <v>-49561.5</v>
      </c>
      <c r="D4" s="91">
        <v>-52774.5</v>
      </c>
      <c r="E4" s="91">
        <v>-3213.0000000000027</v>
      </c>
      <c r="F4" s="91">
        <v>-52774.5</v>
      </c>
      <c r="M4" s="16"/>
      <c r="Z4" t="b">
        <v>0</v>
      </c>
      <c r="AB4" s="6">
        <v>46129</v>
      </c>
    </row>
    <row r="5" spans="1:28" x14ac:dyDescent="0.3">
      <c r="A5" s="91">
        <v>14.38</v>
      </c>
      <c r="B5" s="91">
        <v>-3213</v>
      </c>
      <c r="C5" s="91">
        <v>-48843</v>
      </c>
      <c r="D5" s="91">
        <v>-52056</v>
      </c>
      <c r="E5" s="91">
        <v>-3213</v>
      </c>
      <c r="F5" s="91">
        <v>-52056</v>
      </c>
      <c r="Z5" t="b">
        <v>1</v>
      </c>
      <c r="AB5" s="6">
        <v>46157</v>
      </c>
    </row>
    <row r="6" spans="1:28" x14ac:dyDescent="0.3">
      <c r="A6" s="91">
        <v>19.170000000000002</v>
      </c>
      <c r="B6" s="91">
        <v>-3212.9999999999982</v>
      </c>
      <c r="C6" s="91">
        <v>-48124.5</v>
      </c>
      <c r="D6" s="91">
        <v>-51337.5</v>
      </c>
      <c r="E6" s="91">
        <v>-3212.9999999999982</v>
      </c>
      <c r="F6" s="91">
        <v>-51337.5</v>
      </c>
      <c r="Z6" t="b">
        <v>1</v>
      </c>
      <c r="AB6" s="6">
        <v>46191</v>
      </c>
    </row>
    <row r="7" spans="1:28" x14ac:dyDescent="0.3">
      <c r="A7" s="91">
        <v>23.96</v>
      </c>
      <c r="B7" s="91">
        <v>-3213.0000000000018</v>
      </c>
      <c r="C7" s="91">
        <v>-47406</v>
      </c>
      <c r="D7" s="91">
        <v>-50619</v>
      </c>
      <c r="E7" s="91">
        <v>-3213.0000000000018</v>
      </c>
      <c r="F7" s="91">
        <v>-50619</v>
      </c>
      <c r="Z7" t="b">
        <v>1</v>
      </c>
      <c r="AB7" s="6">
        <v>46220</v>
      </c>
    </row>
    <row r="8" spans="1:28" x14ac:dyDescent="0.3">
      <c r="A8" s="91">
        <v>28.76</v>
      </c>
      <c r="B8" s="91">
        <v>-3213.0000000000009</v>
      </c>
      <c r="C8" s="91">
        <v>-46686</v>
      </c>
      <c r="D8" s="91">
        <v>-49899</v>
      </c>
      <c r="E8" s="91">
        <v>-3213.0000000000009</v>
      </c>
      <c r="F8" s="91">
        <v>-49899</v>
      </c>
      <c r="Z8" t="b">
        <v>1</v>
      </c>
      <c r="AB8" s="6">
        <v>46255</v>
      </c>
    </row>
    <row r="9" spans="1:28" x14ac:dyDescent="0.3">
      <c r="A9" s="91">
        <v>33.549999999999997</v>
      </c>
      <c r="B9" s="91">
        <v>-3212.9999999999991</v>
      </c>
      <c r="C9" s="91">
        <v>-45967.5</v>
      </c>
      <c r="D9" s="91">
        <v>-49180.5</v>
      </c>
      <c r="E9" s="91">
        <v>-3212.9999999999991</v>
      </c>
      <c r="F9" s="91">
        <v>-49180.5</v>
      </c>
      <c r="Z9" t="b">
        <v>1</v>
      </c>
      <c r="AB9" s="6">
        <v>46283</v>
      </c>
    </row>
    <row r="10" spans="1:28" x14ac:dyDescent="0.3">
      <c r="A10" s="91">
        <v>38.340000000000003</v>
      </c>
      <c r="B10" s="91">
        <v>-3212.9999999999964</v>
      </c>
      <c r="C10" s="91">
        <v>-45249</v>
      </c>
      <c r="D10" s="91">
        <v>-48462</v>
      </c>
      <c r="E10" s="91">
        <v>-3212.9999999999964</v>
      </c>
      <c r="F10" s="91">
        <v>-48462</v>
      </c>
      <c r="Z10" t="b">
        <v>1</v>
      </c>
      <c r="AB10" s="6">
        <v>46311</v>
      </c>
    </row>
    <row r="11" spans="1:28" x14ac:dyDescent="0.3">
      <c r="A11" s="91">
        <v>43.14</v>
      </c>
      <c r="B11" s="91">
        <v>-3213.0000000000018</v>
      </c>
      <c r="C11" s="91">
        <v>-44529</v>
      </c>
      <c r="D11" s="91">
        <v>-47742</v>
      </c>
      <c r="E11" s="91">
        <v>-3213.0000000000018</v>
      </c>
      <c r="F11" s="91">
        <v>-47742</v>
      </c>
      <c r="L11" s="18"/>
      <c r="Z11" t="b">
        <v>1</v>
      </c>
      <c r="AB11" s="6">
        <v>46346</v>
      </c>
    </row>
    <row r="12" spans="1:28" x14ac:dyDescent="0.3">
      <c r="A12" s="91">
        <v>47.93</v>
      </c>
      <c r="B12" s="91">
        <v>-3212.9999999999991</v>
      </c>
      <c r="C12" s="91">
        <v>-43810.5</v>
      </c>
      <c r="D12" s="91">
        <v>-47023.5</v>
      </c>
      <c r="E12" s="91">
        <v>-3212.9999999999991</v>
      </c>
      <c r="F12" s="91">
        <v>-47023.5</v>
      </c>
      <c r="L12" s="9"/>
      <c r="Z12" t="b">
        <v>1</v>
      </c>
      <c r="AB12" s="6">
        <v>46374</v>
      </c>
    </row>
    <row r="13" spans="1:28" x14ac:dyDescent="0.3">
      <c r="A13" s="91">
        <v>52.72</v>
      </c>
      <c r="B13" s="91">
        <v>-3212.9999999999973</v>
      </c>
      <c r="C13" s="91">
        <v>-43092</v>
      </c>
      <c r="D13" s="91">
        <v>-46305</v>
      </c>
      <c r="E13" s="91">
        <v>-3212.9999999999973</v>
      </c>
      <c r="F13" s="91">
        <v>-46305</v>
      </c>
      <c r="L13" s="9"/>
      <c r="AB13" s="6">
        <v>46402</v>
      </c>
    </row>
    <row r="14" spans="1:28" x14ac:dyDescent="0.3">
      <c r="A14" s="91">
        <v>57.51</v>
      </c>
      <c r="B14" s="91">
        <v>-3213.0000000000009</v>
      </c>
      <c r="C14" s="91">
        <v>-42373.5</v>
      </c>
      <c r="D14" s="91">
        <v>-45586.5</v>
      </c>
      <c r="E14" s="91">
        <v>-3213.0000000000009</v>
      </c>
      <c r="F14" s="91">
        <v>-45586.5</v>
      </c>
      <c r="L14" s="9"/>
      <c r="AB14" s="6">
        <v>46437</v>
      </c>
    </row>
    <row r="15" spans="1:28" x14ac:dyDescent="0.3">
      <c r="A15" s="91">
        <v>62.31</v>
      </c>
      <c r="B15" s="91">
        <v>-3213</v>
      </c>
      <c r="C15" s="91">
        <v>-41653.5</v>
      </c>
      <c r="D15" s="91">
        <v>-44866.5</v>
      </c>
      <c r="E15" s="91">
        <v>-3213</v>
      </c>
      <c r="F15" s="91">
        <v>-44866.5</v>
      </c>
      <c r="AB15" s="6">
        <v>46465</v>
      </c>
    </row>
    <row r="16" spans="1:28" x14ac:dyDescent="0.3">
      <c r="A16" s="91">
        <v>67.099999999999994</v>
      </c>
      <c r="B16" s="91">
        <v>-3212.9999999999982</v>
      </c>
      <c r="C16" s="91">
        <v>-40935</v>
      </c>
      <c r="D16" s="91">
        <v>-44148</v>
      </c>
      <c r="E16" s="91">
        <v>-3212.9999999999982</v>
      </c>
      <c r="F16" s="91">
        <v>-44148</v>
      </c>
      <c r="AB16" s="6">
        <v>46493</v>
      </c>
    </row>
    <row r="17" spans="1:28" x14ac:dyDescent="0.3">
      <c r="A17" s="91">
        <v>71.89</v>
      </c>
      <c r="B17" s="91">
        <v>-3213.0000000000018</v>
      </c>
      <c r="C17" s="91">
        <v>-40216.5</v>
      </c>
      <c r="D17" s="91">
        <v>-43429.5</v>
      </c>
      <c r="E17" s="91">
        <v>-3213.0000000000018</v>
      </c>
      <c r="F17" s="91">
        <v>-43429.5</v>
      </c>
      <c r="AB17" s="6">
        <v>46528</v>
      </c>
    </row>
    <row r="18" spans="1:28" x14ac:dyDescent="0.3">
      <c r="A18" s="91">
        <v>76.680000000000007</v>
      </c>
      <c r="B18" s="91">
        <v>-3212.9999999999991</v>
      </c>
      <c r="C18" s="91">
        <v>-39498</v>
      </c>
      <c r="D18" s="91">
        <v>-42711</v>
      </c>
      <c r="E18" s="91">
        <v>-3212.9999999999991</v>
      </c>
      <c r="F18" s="91">
        <v>-42711</v>
      </c>
      <c r="AB18" s="6">
        <v>46555</v>
      </c>
    </row>
    <row r="19" spans="1:28" x14ac:dyDescent="0.3">
      <c r="A19" s="91">
        <v>81.48</v>
      </c>
      <c r="B19" s="91">
        <v>-3213.0000000000018</v>
      </c>
      <c r="C19" s="91">
        <v>-38778</v>
      </c>
      <c r="D19" s="91">
        <v>-41991</v>
      </c>
      <c r="E19" s="91">
        <v>-3213.0000000000018</v>
      </c>
      <c r="F19" s="91">
        <v>-41991</v>
      </c>
      <c r="AB19" s="6">
        <v>46584</v>
      </c>
    </row>
    <row r="20" spans="1:28" x14ac:dyDescent="0.3">
      <c r="A20" s="91">
        <v>86.27</v>
      </c>
      <c r="B20" s="91">
        <v>-3213.0000000000018</v>
      </c>
      <c r="C20" s="91">
        <v>-38059.5</v>
      </c>
      <c r="D20" s="91">
        <v>-41272.5</v>
      </c>
      <c r="E20" s="91">
        <v>-3213.0000000000018</v>
      </c>
      <c r="F20" s="91">
        <v>-41272.5</v>
      </c>
      <c r="AB20" s="6">
        <v>46619</v>
      </c>
    </row>
    <row r="21" spans="1:28" x14ac:dyDescent="0.3">
      <c r="A21" s="91">
        <v>91.06</v>
      </c>
      <c r="B21" s="91">
        <v>-3213</v>
      </c>
      <c r="C21" s="91">
        <v>-37341</v>
      </c>
      <c r="D21" s="91">
        <v>-40554</v>
      </c>
      <c r="E21" s="91">
        <v>-3213</v>
      </c>
      <c r="F21" s="91">
        <v>-40554</v>
      </c>
      <c r="AB21" s="6">
        <v>46647</v>
      </c>
    </row>
    <row r="22" spans="1:28" x14ac:dyDescent="0.3">
      <c r="A22" s="91">
        <v>95.86</v>
      </c>
      <c r="B22" s="91">
        <v>-3212.9999999999982</v>
      </c>
      <c r="C22" s="91">
        <v>-36621</v>
      </c>
      <c r="D22" s="91">
        <v>-39834</v>
      </c>
      <c r="E22" s="91">
        <v>-3212.9999999999982</v>
      </c>
      <c r="F22" s="91">
        <v>-39834</v>
      </c>
      <c r="AB22" s="6">
        <v>46675</v>
      </c>
    </row>
    <row r="23" spans="1:28" x14ac:dyDescent="0.3">
      <c r="A23" s="91">
        <v>100.65</v>
      </c>
      <c r="B23" s="91">
        <v>-3212.9999999999982</v>
      </c>
      <c r="C23" s="91">
        <v>-35902.5</v>
      </c>
      <c r="D23" s="91">
        <v>-39115.5</v>
      </c>
      <c r="E23" s="91">
        <v>-3212.9999999999982</v>
      </c>
      <c r="F23" s="91">
        <v>-39115.5</v>
      </c>
      <c r="AB23" s="6">
        <v>46710</v>
      </c>
    </row>
    <row r="24" spans="1:28" x14ac:dyDescent="0.3">
      <c r="A24" s="91">
        <v>105.44</v>
      </c>
      <c r="B24" s="91">
        <v>-3213</v>
      </c>
      <c r="C24" s="91">
        <v>-35184</v>
      </c>
      <c r="D24" s="91">
        <v>-38397</v>
      </c>
      <c r="E24" s="91">
        <v>-3213</v>
      </c>
      <c r="F24" s="91">
        <v>-38397</v>
      </c>
      <c r="AB24" s="6">
        <v>46738</v>
      </c>
    </row>
    <row r="25" spans="1:28" x14ac:dyDescent="0.3">
      <c r="A25" s="91">
        <v>110.23</v>
      </c>
      <c r="B25" s="91">
        <v>-3213.0000000000018</v>
      </c>
      <c r="C25" s="91">
        <v>-34465.5</v>
      </c>
      <c r="D25" s="91">
        <v>-37678.5</v>
      </c>
      <c r="E25" s="91">
        <v>-3213.0000000000018</v>
      </c>
      <c r="F25" s="91">
        <v>-37678.5</v>
      </c>
      <c r="AB25" s="6">
        <v>46773</v>
      </c>
    </row>
    <row r="26" spans="1:28" x14ac:dyDescent="0.3">
      <c r="A26" s="91">
        <v>115.03</v>
      </c>
      <c r="B26" s="91">
        <v>-3212.9999999999991</v>
      </c>
      <c r="C26" s="91">
        <v>-33745.5</v>
      </c>
      <c r="D26" s="91">
        <v>-36958.5</v>
      </c>
      <c r="E26" s="91">
        <v>-3212.9999999999991</v>
      </c>
      <c r="F26" s="91">
        <v>-36958.5</v>
      </c>
      <c r="AB26" s="6">
        <v>46801</v>
      </c>
    </row>
    <row r="27" spans="1:28" x14ac:dyDescent="0.3">
      <c r="A27" s="91">
        <v>119.82</v>
      </c>
      <c r="B27" s="91">
        <v>-3213.0000000000009</v>
      </c>
      <c r="C27" s="91">
        <v>-33027</v>
      </c>
      <c r="D27" s="91">
        <v>-36240</v>
      </c>
      <c r="E27" s="91">
        <v>-3213.0000000000009</v>
      </c>
      <c r="F27" s="91">
        <v>-36240</v>
      </c>
      <c r="AB27" s="6">
        <v>46829</v>
      </c>
    </row>
    <row r="28" spans="1:28" x14ac:dyDescent="0.3">
      <c r="A28" s="91">
        <v>124.61</v>
      </c>
      <c r="B28" s="91">
        <v>-3212.9999999999982</v>
      </c>
      <c r="C28" s="91">
        <v>-32308.5</v>
      </c>
      <c r="D28" s="91">
        <v>-35521.5</v>
      </c>
      <c r="E28" s="91">
        <v>-3212.9999999999982</v>
      </c>
      <c r="F28" s="91">
        <v>-35521.5</v>
      </c>
      <c r="AB28" s="6">
        <v>46864</v>
      </c>
    </row>
    <row r="29" spans="1:28" x14ac:dyDescent="0.3">
      <c r="A29" s="91">
        <v>129.41</v>
      </c>
      <c r="B29" s="91">
        <v>-3213</v>
      </c>
      <c r="C29" s="91">
        <v>-31588.5</v>
      </c>
      <c r="D29" s="91">
        <v>-34801.5</v>
      </c>
      <c r="E29" s="91">
        <v>-3213</v>
      </c>
      <c r="F29" s="91">
        <v>-34801.5</v>
      </c>
      <c r="AB29" s="6">
        <v>46892</v>
      </c>
    </row>
    <row r="30" spans="1:28" x14ac:dyDescent="0.3">
      <c r="A30" s="91">
        <v>134.19999999999999</v>
      </c>
      <c r="B30" s="91">
        <v>-3213.0000000000009</v>
      </c>
      <c r="C30" s="91">
        <v>-30870</v>
      </c>
      <c r="D30" s="91">
        <v>-34083</v>
      </c>
      <c r="E30" s="91">
        <v>-3213.0000000000009</v>
      </c>
      <c r="F30" s="91">
        <v>-34083</v>
      </c>
      <c r="AB30" s="6">
        <v>46920</v>
      </c>
    </row>
    <row r="31" spans="1:28" x14ac:dyDescent="0.3">
      <c r="A31" s="91">
        <v>138.99</v>
      </c>
      <c r="B31" s="91">
        <v>-3212.9999999999991</v>
      </c>
      <c r="C31" s="91">
        <v>-30151.5</v>
      </c>
      <c r="D31" s="91">
        <v>-33364.5</v>
      </c>
      <c r="E31" s="91">
        <v>-3212.9999999999991</v>
      </c>
      <c r="F31" s="91">
        <v>-33364.5</v>
      </c>
      <c r="AB31" s="6">
        <v>46955</v>
      </c>
    </row>
    <row r="32" spans="1:28" x14ac:dyDescent="0.3">
      <c r="A32" s="91">
        <v>143.78</v>
      </c>
      <c r="B32" s="91">
        <v>-3212.9999999999991</v>
      </c>
      <c r="C32" s="91">
        <v>-29433</v>
      </c>
      <c r="D32" s="91">
        <v>-32646</v>
      </c>
      <c r="E32" s="91">
        <v>-3212.9999999999991</v>
      </c>
      <c r="F32" s="91">
        <v>-32646</v>
      </c>
      <c r="AB32" s="6">
        <v>46983</v>
      </c>
    </row>
    <row r="33" spans="1:28" x14ac:dyDescent="0.3">
      <c r="A33" s="91">
        <v>148.58000000000001</v>
      </c>
      <c r="B33" s="91">
        <v>-3212.9999999999964</v>
      </c>
      <c r="C33" s="91">
        <v>-28712.999999999996</v>
      </c>
      <c r="D33" s="91">
        <v>-31925.999999999993</v>
      </c>
      <c r="E33" s="91">
        <v>-3212.9999999999964</v>
      </c>
      <c r="F33" s="91">
        <v>-31925.999999999993</v>
      </c>
      <c r="AB33" s="6">
        <v>47011</v>
      </c>
    </row>
    <row r="34" spans="1:28" x14ac:dyDescent="0.3">
      <c r="A34" s="91">
        <v>153.37</v>
      </c>
      <c r="B34" s="91">
        <v>-3213</v>
      </c>
      <c r="C34" s="91">
        <v>-27994.5</v>
      </c>
      <c r="D34" s="91">
        <v>-31207.5</v>
      </c>
      <c r="E34" s="91">
        <v>-3213</v>
      </c>
      <c r="F34" s="91">
        <v>-31207.5</v>
      </c>
      <c r="AB34" s="6">
        <v>47046</v>
      </c>
    </row>
    <row r="35" spans="1:28" x14ac:dyDescent="0.3">
      <c r="A35" s="91">
        <v>158.16</v>
      </c>
      <c r="B35" s="91">
        <v>-3213.0000000000036</v>
      </c>
      <c r="C35" s="91">
        <v>-27276</v>
      </c>
      <c r="D35" s="91">
        <v>-30489.000000000004</v>
      </c>
      <c r="E35" s="91">
        <v>-3213.0000000000036</v>
      </c>
      <c r="F35" s="91">
        <v>-30489.000000000004</v>
      </c>
      <c r="AB35" s="6">
        <v>47074</v>
      </c>
    </row>
    <row r="36" spans="1:28" x14ac:dyDescent="0.3">
      <c r="A36" s="91">
        <v>162.96</v>
      </c>
      <c r="B36" s="91">
        <v>-3212.9999999999964</v>
      </c>
      <c r="C36" s="91">
        <v>-26556</v>
      </c>
      <c r="D36" s="91">
        <v>-29768.999999999996</v>
      </c>
      <c r="E36" s="91">
        <v>-3212.9999999999964</v>
      </c>
      <c r="F36" s="91">
        <v>-29768.999999999996</v>
      </c>
      <c r="AB36" s="6">
        <v>47102</v>
      </c>
    </row>
    <row r="37" spans="1:28" x14ac:dyDescent="0.3">
      <c r="A37" s="91">
        <v>167.75</v>
      </c>
      <c r="B37" s="91">
        <v>-3213</v>
      </c>
      <c r="C37" s="91">
        <v>-25837.5</v>
      </c>
      <c r="D37" s="91">
        <v>-29050.5</v>
      </c>
      <c r="E37" s="91">
        <v>-3213</v>
      </c>
      <c r="F37" s="91">
        <v>-29050.5</v>
      </c>
      <c r="AB37" s="6"/>
    </row>
    <row r="38" spans="1:28" x14ac:dyDescent="0.3">
      <c r="A38" s="91">
        <v>172.54</v>
      </c>
      <c r="B38" s="91">
        <v>-3213.0000000000036</v>
      </c>
      <c r="C38" s="91">
        <v>-25119</v>
      </c>
      <c r="D38" s="91">
        <v>-28332.000000000004</v>
      </c>
      <c r="E38" s="91">
        <v>-3213.0000000000036</v>
      </c>
      <c r="F38" s="91">
        <v>-28332.000000000004</v>
      </c>
      <c r="AB38" s="6"/>
    </row>
    <row r="39" spans="1:28" x14ac:dyDescent="0.3">
      <c r="A39" s="91">
        <v>177.33</v>
      </c>
      <c r="B39" s="91">
        <v>-3212.9999999999964</v>
      </c>
      <c r="C39" s="91">
        <v>-24400.499999999996</v>
      </c>
      <c r="D39" s="91">
        <v>-27613.499999999993</v>
      </c>
      <c r="E39" s="91">
        <v>-3212.9999999999964</v>
      </c>
      <c r="F39" s="91">
        <v>-27613.499999999993</v>
      </c>
      <c r="AB39" s="6"/>
    </row>
    <row r="40" spans="1:28" x14ac:dyDescent="0.3">
      <c r="A40" s="91">
        <v>182.13</v>
      </c>
      <c r="B40" s="91">
        <v>-3213</v>
      </c>
      <c r="C40" s="91">
        <v>-23680.5</v>
      </c>
      <c r="D40" s="91">
        <v>-26893.5</v>
      </c>
      <c r="E40" s="91">
        <v>-3213</v>
      </c>
      <c r="F40" s="91">
        <v>-26893.5</v>
      </c>
      <c r="AB40" s="6"/>
    </row>
    <row r="41" spans="1:28" x14ac:dyDescent="0.3">
      <c r="A41" s="91">
        <v>186.92</v>
      </c>
      <c r="B41" s="91">
        <v>-3213.0000000000036</v>
      </c>
      <c r="C41" s="91">
        <v>-22962.000000000004</v>
      </c>
      <c r="D41" s="91">
        <v>-26175.000000000007</v>
      </c>
      <c r="E41" s="91">
        <v>-3213.0000000000036</v>
      </c>
      <c r="F41" s="91">
        <v>-26175.000000000007</v>
      </c>
      <c r="AB41" s="6"/>
    </row>
    <row r="42" spans="1:28" x14ac:dyDescent="0.3">
      <c r="A42" s="91">
        <v>191.71</v>
      </c>
      <c r="B42" s="91">
        <v>-3212.9999999999964</v>
      </c>
      <c r="C42" s="91">
        <v>-22243.5</v>
      </c>
      <c r="D42" s="91">
        <v>-25456.499999999996</v>
      </c>
      <c r="E42" s="91">
        <v>-3212.9999999999964</v>
      </c>
      <c r="F42" s="91">
        <v>-25456.499999999996</v>
      </c>
      <c r="AB42" s="6"/>
    </row>
    <row r="43" spans="1:28" x14ac:dyDescent="0.3">
      <c r="A43" s="91">
        <v>196.5</v>
      </c>
      <c r="B43" s="91">
        <v>-3213</v>
      </c>
      <c r="C43" s="91">
        <v>-21525</v>
      </c>
      <c r="D43" s="91">
        <v>-24738</v>
      </c>
      <c r="E43" s="91">
        <v>-3213</v>
      </c>
      <c r="F43" s="91">
        <v>-24738</v>
      </c>
      <c r="AB43" s="6"/>
    </row>
    <row r="44" spans="1:28" x14ac:dyDescent="0.3">
      <c r="A44" s="91">
        <v>201.3</v>
      </c>
      <c r="B44" s="91">
        <v>-3212.9999999999991</v>
      </c>
      <c r="C44" s="91">
        <v>-20805</v>
      </c>
      <c r="D44" s="91">
        <v>-24018</v>
      </c>
      <c r="E44" s="91">
        <v>-3212.9999999999991</v>
      </c>
      <c r="F44" s="91">
        <v>-24018</v>
      </c>
      <c r="AB44" s="6"/>
    </row>
    <row r="45" spans="1:28" x14ac:dyDescent="0.3">
      <c r="A45" s="91">
        <v>206.09</v>
      </c>
      <c r="B45" s="91">
        <v>-3213</v>
      </c>
      <c r="C45" s="91">
        <v>-20086.5</v>
      </c>
      <c r="D45" s="91">
        <v>-23299.5</v>
      </c>
      <c r="E45" s="91">
        <v>-3213</v>
      </c>
      <c r="F45" s="91">
        <v>-23299.5</v>
      </c>
      <c r="AB45" s="6"/>
    </row>
    <row r="46" spans="1:28" x14ac:dyDescent="0.3">
      <c r="A46" s="91">
        <v>210.88</v>
      </c>
      <c r="B46" s="91">
        <v>-3213</v>
      </c>
      <c r="C46" s="91">
        <v>-19368</v>
      </c>
      <c r="D46" s="91">
        <v>-22581</v>
      </c>
      <c r="E46" s="91">
        <v>-3213</v>
      </c>
      <c r="F46" s="91">
        <v>-22581</v>
      </c>
      <c r="AB46" s="6"/>
    </row>
    <row r="47" spans="1:28" x14ac:dyDescent="0.3">
      <c r="A47" s="91">
        <v>215.68</v>
      </c>
      <c r="B47" s="91">
        <v>-3212.9999999999991</v>
      </c>
      <c r="C47" s="91">
        <v>-18648</v>
      </c>
      <c r="D47" s="91">
        <v>-21861</v>
      </c>
      <c r="E47" s="91">
        <v>-3212.9999999999991</v>
      </c>
      <c r="F47" s="91">
        <v>-21861</v>
      </c>
      <c r="AB47" s="6"/>
    </row>
    <row r="48" spans="1:28" x14ac:dyDescent="0.3">
      <c r="A48" s="91">
        <v>220.47</v>
      </c>
      <c r="B48" s="91">
        <v>-3213</v>
      </c>
      <c r="C48" s="91">
        <v>-17929.5</v>
      </c>
      <c r="D48" s="91">
        <v>-21142.5</v>
      </c>
      <c r="E48" s="91">
        <v>-3213</v>
      </c>
      <c r="F48" s="91">
        <v>-21142.5</v>
      </c>
      <c r="AB48" s="6"/>
    </row>
    <row r="49" spans="1:28" x14ac:dyDescent="0.3">
      <c r="A49" s="91">
        <v>225.26</v>
      </c>
      <c r="B49" s="91">
        <v>-3213.0000000000009</v>
      </c>
      <c r="C49" s="91">
        <v>-17211</v>
      </c>
      <c r="D49" s="91">
        <v>-20424</v>
      </c>
      <c r="E49" s="91">
        <v>-3213.0000000000009</v>
      </c>
      <c r="F49" s="91">
        <v>-20424</v>
      </c>
      <c r="AB49" s="6"/>
    </row>
    <row r="50" spans="1:28" x14ac:dyDescent="0.3">
      <c r="A50" s="91">
        <v>230.05</v>
      </c>
      <c r="B50" s="91">
        <v>-3212.9999999999991</v>
      </c>
      <c r="C50" s="91">
        <v>-16492.5</v>
      </c>
      <c r="D50" s="91">
        <v>-19705.5</v>
      </c>
      <c r="E50" s="91">
        <v>-3212.9999999999991</v>
      </c>
      <c r="F50" s="91">
        <v>-19705.5</v>
      </c>
      <c r="AB50" s="6"/>
    </row>
    <row r="51" spans="1:28" x14ac:dyDescent="0.3">
      <c r="A51" s="91">
        <v>234.85</v>
      </c>
      <c r="B51" s="91">
        <v>-3213.0000000000009</v>
      </c>
      <c r="C51" s="91">
        <v>-15772.5</v>
      </c>
      <c r="D51" s="91">
        <v>-18985.5</v>
      </c>
      <c r="E51" s="91">
        <v>-3213.0000000000009</v>
      </c>
      <c r="F51" s="91">
        <v>-18985.5</v>
      </c>
      <c r="AB51" s="6"/>
    </row>
    <row r="52" spans="1:28" x14ac:dyDescent="0.3">
      <c r="A52" s="91">
        <v>239.64</v>
      </c>
      <c r="B52" s="91">
        <v>-3213</v>
      </c>
      <c r="C52" s="91">
        <v>-15054.000000000002</v>
      </c>
      <c r="D52" s="91">
        <v>-18267</v>
      </c>
      <c r="E52" s="91">
        <v>-3213</v>
      </c>
      <c r="F52" s="91">
        <v>-18267</v>
      </c>
      <c r="AB52" s="6"/>
    </row>
    <row r="53" spans="1:28" x14ac:dyDescent="0.3">
      <c r="A53" s="91">
        <v>244.43</v>
      </c>
      <c r="B53" s="91">
        <v>-3212.9999999999991</v>
      </c>
      <c r="C53" s="91">
        <v>-14335.499999999998</v>
      </c>
      <c r="D53" s="91">
        <v>-17548.499999999996</v>
      </c>
      <c r="E53" s="91">
        <v>-3212.9999999999991</v>
      </c>
      <c r="F53" s="91">
        <v>-17548.499999999996</v>
      </c>
      <c r="AB53" s="6"/>
    </row>
    <row r="54" spans="1:28" x14ac:dyDescent="0.3">
      <c r="A54" s="91">
        <v>249.23</v>
      </c>
      <c r="B54" s="91">
        <v>-3212.9999999999991</v>
      </c>
      <c r="C54" s="91">
        <v>-13615.500000000002</v>
      </c>
      <c r="D54" s="91">
        <v>-16828.5</v>
      </c>
      <c r="E54" s="91">
        <v>-3212.9999999999991</v>
      </c>
      <c r="F54" s="91">
        <v>-16828.5</v>
      </c>
      <c r="AB54" s="6"/>
    </row>
    <row r="55" spans="1:28" x14ac:dyDescent="0.3">
      <c r="A55" s="91">
        <v>254.02</v>
      </c>
      <c r="B55" s="91">
        <v>-3213.0000000000009</v>
      </c>
      <c r="C55" s="91">
        <v>-12896.999999999998</v>
      </c>
      <c r="D55" s="91">
        <v>-16110</v>
      </c>
      <c r="E55" s="91">
        <v>-3213.0000000000009</v>
      </c>
      <c r="F55" s="91">
        <v>-16110</v>
      </c>
      <c r="AB55" s="6"/>
    </row>
    <row r="56" spans="1:28" x14ac:dyDescent="0.3">
      <c r="A56" s="91">
        <v>258.81</v>
      </c>
      <c r="B56" s="91">
        <v>-3213</v>
      </c>
      <c r="C56" s="91">
        <v>-12178.5</v>
      </c>
      <c r="D56" s="91">
        <v>-15391.5</v>
      </c>
      <c r="E56" s="91">
        <v>-3213</v>
      </c>
      <c r="F56" s="91">
        <v>-15391.5</v>
      </c>
      <c r="AB56" s="6"/>
    </row>
    <row r="57" spans="1:28" x14ac:dyDescent="0.3">
      <c r="A57" s="91">
        <v>263.60000000000002</v>
      </c>
      <c r="B57" s="91">
        <v>-3213</v>
      </c>
      <c r="C57" s="91">
        <v>-11459.999999999996</v>
      </c>
      <c r="D57" s="91">
        <v>-14672.999999999996</v>
      </c>
      <c r="E57" s="91">
        <v>-3213</v>
      </c>
      <c r="F57" s="91">
        <v>-14672.999999999996</v>
      </c>
      <c r="AB57" s="6"/>
    </row>
    <row r="58" spans="1:28" x14ac:dyDescent="0.3">
      <c r="A58" s="91">
        <v>268.39999999999998</v>
      </c>
      <c r="B58" s="91">
        <v>-3213</v>
      </c>
      <c r="C58" s="91">
        <v>-10740.000000000004</v>
      </c>
      <c r="D58" s="91">
        <v>-13953.000000000004</v>
      </c>
      <c r="E58" s="91">
        <v>-3213</v>
      </c>
      <c r="F58" s="91">
        <v>-13953.000000000004</v>
      </c>
      <c r="AB58" s="6"/>
    </row>
    <row r="59" spans="1:28" x14ac:dyDescent="0.3">
      <c r="A59" s="91">
        <v>273.19</v>
      </c>
      <c r="B59" s="91">
        <v>-3213</v>
      </c>
      <c r="C59" s="91">
        <v>-10021.5</v>
      </c>
      <c r="D59" s="91">
        <v>-13234.5</v>
      </c>
      <c r="E59" s="91">
        <v>-3213</v>
      </c>
      <c r="F59" s="91">
        <v>-13234.5</v>
      </c>
      <c r="AB59" s="6"/>
    </row>
    <row r="60" spans="1:28" x14ac:dyDescent="0.3">
      <c r="A60" s="91">
        <v>277.98</v>
      </c>
      <c r="B60" s="91">
        <v>-3213</v>
      </c>
      <c r="C60" s="91">
        <v>-9302.9999999999964</v>
      </c>
      <c r="D60" s="91">
        <v>-12515.999999999996</v>
      </c>
      <c r="E60" s="91">
        <v>-3213</v>
      </c>
      <c r="F60" s="91">
        <v>-12515.999999999996</v>
      </c>
      <c r="AB60" s="6"/>
    </row>
    <row r="61" spans="1:28" x14ac:dyDescent="0.3">
      <c r="A61" s="91">
        <v>282.77999999999997</v>
      </c>
      <c r="B61" s="91">
        <v>-3213.0000000000009</v>
      </c>
      <c r="C61" s="91">
        <v>-8583.0000000000036</v>
      </c>
      <c r="D61" s="91">
        <v>-11796.000000000004</v>
      </c>
      <c r="E61" s="91">
        <v>-3213.0000000000009</v>
      </c>
      <c r="F61" s="91">
        <v>-11796.000000000004</v>
      </c>
      <c r="AB61" s="6"/>
    </row>
    <row r="62" spans="1:28" x14ac:dyDescent="0.3">
      <c r="A62" s="91">
        <v>287.57</v>
      </c>
      <c r="B62" s="91">
        <v>-3213.0000000000009</v>
      </c>
      <c r="C62" s="91">
        <v>-7864.5000000000009</v>
      </c>
      <c r="D62" s="91">
        <v>-11077.500000000002</v>
      </c>
      <c r="E62" s="91">
        <v>-3213.0000000000009</v>
      </c>
      <c r="F62" s="91">
        <v>-11077.500000000002</v>
      </c>
      <c r="AB62" s="6"/>
    </row>
    <row r="63" spans="1:28" x14ac:dyDescent="0.3">
      <c r="A63" s="91">
        <v>292.36</v>
      </c>
      <c r="B63" s="91">
        <v>-3213</v>
      </c>
      <c r="C63" s="91">
        <v>-7145.9999999999982</v>
      </c>
      <c r="D63" s="91">
        <v>-10358.999999999998</v>
      </c>
      <c r="E63" s="91">
        <v>-3213</v>
      </c>
      <c r="F63" s="91">
        <v>-10358.999999999998</v>
      </c>
      <c r="AB63" s="6"/>
    </row>
    <row r="64" spans="1:28" x14ac:dyDescent="0.3">
      <c r="A64" s="91">
        <v>297.14999999999998</v>
      </c>
      <c r="B64" s="91">
        <v>-3213</v>
      </c>
      <c r="C64" s="91">
        <v>-6427.5000000000036</v>
      </c>
      <c r="D64" s="91">
        <v>-9640.5000000000036</v>
      </c>
      <c r="E64" s="91">
        <v>-3213</v>
      </c>
      <c r="F64" s="91">
        <v>-9640.5000000000036</v>
      </c>
      <c r="AB64" s="6"/>
    </row>
    <row r="65" spans="1:28" x14ac:dyDescent="0.3">
      <c r="A65" s="91">
        <v>301.95</v>
      </c>
      <c r="B65" s="91">
        <v>-3212.9999999999991</v>
      </c>
      <c r="C65" s="91">
        <v>-5707.5000000000018</v>
      </c>
      <c r="D65" s="91">
        <v>-8920.5</v>
      </c>
      <c r="E65" s="91">
        <v>-3212.9999999999991</v>
      </c>
      <c r="F65" s="91">
        <v>-8920.5</v>
      </c>
      <c r="AB65" s="6"/>
    </row>
    <row r="66" spans="1:28" x14ac:dyDescent="0.3">
      <c r="A66" s="91">
        <v>306.74</v>
      </c>
      <c r="B66" s="91">
        <v>-3213.0000000000009</v>
      </c>
      <c r="C66" s="91">
        <v>-4988.9999999999982</v>
      </c>
      <c r="D66" s="91">
        <v>-8202</v>
      </c>
      <c r="E66" s="91">
        <v>-3213.0000000000009</v>
      </c>
      <c r="F66" s="91">
        <v>-8202</v>
      </c>
      <c r="AB66" s="6"/>
    </row>
    <row r="67" spans="1:28" x14ac:dyDescent="0.3">
      <c r="A67" s="91">
        <v>311.52999999999997</v>
      </c>
      <c r="B67" s="91">
        <v>-3213.0000000000009</v>
      </c>
      <c r="C67" s="91">
        <v>-4270.5000000000036</v>
      </c>
      <c r="D67" s="91">
        <v>-7483.5000000000045</v>
      </c>
      <c r="E67" s="91">
        <v>-3213.0000000000009</v>
      </c>
      <c r="F67" s="91">
        <v>-7483.5000000000045</v>
      </c>
      <c r="AB67" s="6"/>
    </row>
    <row r="68" spans="1:28" x14ac:dyDescent="0.3">
      <c r="A68" s="91">
        <v>316.32</v>
      </c>
      <c r="B68" s="91">
        <v>-3213</v>
      </c>
      <c r="C68" s="91">
        <v>-3552.0000000000009</v>
      </c>
      <c r="D68" s="91">
        <v>-6765.0000000000009</v>
      </c>
      <c r="E68" s="91">
        <v>-3213</v>
      </c>
      <c r="F68" s="91">
        <v>-6765.0000000000009</v>
      </c>
      <c r="AB68" s="6"/>
    </row>
    <row r="69" spans="1:28" x14ac:dyDescent="0.3">
      <c r="A69" s="91">
        <v>321.12</v>
      </c>
      <c r="B69" s="91">
        <v>-3213</v>
      </c>
      <c r="C69" s="91">
        <v>-2831.9999999999991</v>
      </c>
      <c r="D69" s="91">
        <v>-6044.9999999999991</v>
      </c>
      <c r="E69" s="91">
        <v>-3213</v>
      </c>
      <c r="F69" s="91">
        <v>-6044.9999999999991</v>
      </c>
      <c r="AB69" s="6"/>
    </row>
    <row r="70" spans="1:28" x14ac:dyDescent="0.3">
      <c r="A70" s="91">
        <v>325.91000000000003</v>
      </c>
      <c r="B70" s="91">
        <v>-3213</v>
      </c>
      <c r="C70" s="91">
        <v>-2113.4999999999964</v>
      </c>
      <c r="D70" s="91">
        <v>-5326.4999999999964</v>
      </c>
      <c r="E70" s="91">
        <v>-3213</v>
      </c>
      <c r="F70" s="91">
        <v>-5326.4999999999964</v>
      </c>
      <c r="AB70" s="6"/>
    </row>
    <row r="71" spans="1:28" x14ac:dyDescent="0.3">
      <c r="A71" s="91">
        <v>330.7</v>
      </c>
      <c r="B71" s="91">
        <v>-3213</v>
      </c>
      <c r="C71" s="91">
        <v>-1395.0000000000018</v>
      </c>
      <c r="D71" s="91">
        <v>-4608.0000000000018</v>
      </c>
      <c r="E71" s="91">
        <v>-3213</v>
      </c>
      <c r="F71" s="91">
        <v>-4608.0000000000018</v>
      </c>
      <c r="AB71" s="6"/>
    </row>
    <row r="72" spans="1:28" x14ac:dyDescent="0.3">
      <c r="A72" s="91">
        <v>335.5</v>
      </c>
      <c r="B72" s="91">
        <v>-3213</v>
      </c>
      <c r="C72" s="91">
        <v>-675</v>
      </c>
      <c r="D72" s="91">
        <v>-3888</v>
      </c>
      <c r="E72" s="91">
        <v>-3213</v>
      </c>
      <c r="F72" s="91">
        <v>-3888</v>
      </c>
      <c r="AB72" s="6"/>
    </row>
    <row r="73" spans="1:28" x14ac:dyDescent="0.3">
      <c r="A73" s="91">
        <v>340.29</v>
      </c>
      <c r="B73" s="91">
        <v>-3213</v>
      </c>
      <c r="C73" s="91">
        <v>43.50000000000307</v>
      </c>
      <c r="D73" s="91">
        <v>-3169.4999999999968</v>
      </c>
      <c r="E73" s="91">
        <v>-3213</v>
      </c>
      <c r="F73" s="91">
        <v>-3169.4999999999968</v>
      </c>
      <c r="AB73" s="6"/>
    </row>
    <row r="74" spans="1:28" x14ac:dyDescent="0.3">
      <c r="A74" s="91">
        <v>345.08</v>
      </c>
      <c r="B74" s="91">
        <v>-3213</v>
      </c>
      <c r="C74" s="91">
        <v>761.99999999999761</v>
      </c>
      <c r="D74" s="91">
        <v>-2451.0000000000023</v>
      </c>
      <c r="E74" s="91">
        <v>-3213</v>
      </c>
      <c r="F74" s="91">
        <v>-2451.0000000000023</v>
      </c>
      <c r="AB74" s="6"/>
    </row>
    <row r="75" spans="1:28" x14ac:dyDescent="0.3">
      <c r="A75" s="91">
        <v>349.87</v>
      </c>
      <c r="B75" s="91">
        <v>-3213</v>
      </c>
      <c r="C75" s="91">
        <v>1480.5000000000007</v>
      </c>
      <c r="D75" s="91">
        <v>-1732.4999999999993</v>
      </c>
      <c r="E75" s="91">
        <v>-3213</v>
      </c>
      <c r="F75" s="91">
        <v>-1732.4999999999993</v>
      </c>
      <c r="AB75" s="6"/>
    </row>
    <row r="76" spans="1:28" x14ac:dyDescent="0.3">
      <c r="A76" s="91">
        <v>354.67</v>
      </c>
      <c r="B76" s="91">
        <v>-3213</v>
      </c>
      <c r="C76" s="91">
        <v>2200.5000000000023</v>
      </c>
      <c r="D76" s="91">
        <v>-1012.4999999999977</v>
      </c>
      <c r="E76" s="91">
        <v>-3213</v>
      </c>
      <c r="F76" s="91">
        <v>-1012.4999999999977</v>
      </c>
      <c r="AB76" s="6"/>
    </row>
    <row r="77" spans="1:28" x14ac:dyDescent="0.3">
      <c r="A77" s="91">
        <v>359.46</v>
      </c>
      <c r="B77" s="91">
        <v>-3213</v>
      </c>
      <c r="C77" s="91">
        <v>2918.9999999999968</v>
      </c>
      <c r="D77" s="91">
        <v>-294.00000000000318</v>
      </c>
      <c r="E77" s="91">
        <v>-3213</v>
      </c>
      <c r="F77" s="91">
        <v>-294.00000000000318</v>
      </c>
      <c r="AB77" s="6"/>
    </row>
    <row r="78" spans="1:28" x14ac:dyDescent="0.3">
      <c r="A78" s="91">
        <v>364.25</v>
      </c>
      <c r="B78" s="91">
        <v>-3213</v>
      </c>
      <c r="C78" s="91">
        <v>3637.5</v>
      </c>
      <c r="D78" s="91">
        <v>424.5</v>
      </c>
      <c r="E78" s="91">
        <v>-3213</v>
      </c>
      <c r="F78" s="91">
        <v>424.5</v>
      </c>
      <c r="AB78" s="6"/>
    </row>
    <row r="79" spans="1:28" x14ac:dyDescent="0.3">
      <c r="A79" s="91">
        <v>369.05</v>
      </c>
      <c r="B79" s="91">
        <v>-3213</v>
      </c>
      <c r="C79" s="91">
        <v>4357.5000000000018</v>
      </c>
      <c r="D79" s="91">
        <v>1144.5000000000018</v>
      </c>
      <c r="E79" s="91">
        <v>-3213</v>
      </c>
      <c r="F79" s="91">
        <v>1144.5000000000018</v>
      </c>
      <c r="AB79" s="6"/>
    </row>
    <row r="80" spans="1:28" x14ac:dyDescent="0.3">
      <c r="A80" s="91">
        <v>373.84</v>
      </c>
      <c r="B80" s="91">
        <v>-3213</v>
      </c>
      <c r="C80" s="91">
        <v>5075.9999999999964</v>
      </c>
      <c r="D80" s="91">
        <v>1862.9999999999964</v>
      </c>
      <c r="E80" s="91">
        <v>-3213</v>
      </c>
      <c r="F80" s="91">
        <v>1862.9999999999964</v>
      </c>
      <c r="AB80" s="6"/>
    </row>
    <row r="81" spans="1:28" x14ac:dyDescent="0.3">
      <c r="A81" s="91">
        <v>378.63</v>
      </c>
      <c r="B81" s="91">
        <v>-3213</v>
      </c>
      <c r="C81" s="91">
        <v>5794.4999999999991</v>
      </c>
      <c r="D81" s="91">
        <v>2581.4999999999991</v>
      </c>
      <c r="E81" s="91">
        <v>-3213</v>
      </c>
      <c r="F81" s="91">
        <v>2581.4999999999991</v>
      </c>
      <c r="AB81" s="6"/>
    </row>
    <row r="82" spans="1:28" x14ac:dyDescent="0.3">
      <c r="A82" s="91">
        <v>383.42</v>
      </c>
      <c r="B82" s="91">
        <v>-3213</v>
      </c>
      <c r="C82" s="91">
        <v>6513.0000000000027</v>
      </c>
      <c r="D82" s="91">
        <v>3300.0000000000027</v>
      </c>
      <c r="E82" s="91">
        <v>-3213</v>
      </c>
      <c r="F82" s="91">
        <v>3300.0000000000027</v>
      </c>
      <c r="AB82" s="6"/>
    </row>
    <row r="83" spans="1:28" x14ac:dyDescent="0.3">
      <c r="A83" s="91">
        <v>388.22</v>
      </c>
      <c r="B83" s="91">
        <v>-3213</v>
      </c>
      <c r="C83" s="91">
        <v>7233.0000000000036</v>
      </c>
      <c r="D83" s="91">
        <v>4020.0000000000036</v>
      </c>
      <c r="E83" s="91">
        <v>-3213</v>
      </c>
      <c r="F83" s="91">
        <v>4020.0000000000036</v>
      </c>
      <c r="AB83" s="6"/>
    </row>
    <row r="84" spans="1:28" x14ac:dyDescent="0.3">
      <c r="A84" s="91">
        <v>393.01</v>
      </c>
      <c r="B84" s="91">
        <v>-3213</v>
      </c>
      <c r="C84" s="91">
        <v>7951.4999999999982</v>
      </c>
      <c r="D84" s="91">
        <v>4738.4999999999982</v>
      </c>
      <c r="E84" s="91">
        <v>-3213</v>
      </c>
      <c r="F84" s="91">
        <v>4738.4999999999982</v>
      </c>
      <c r="AB84" s="6"/>
    </row>
    <row r="85" spans="1:28" x14ac:dyDescent="0.3">
      <c r="A85" s="91">
        <v>397.8</v>
      </c>
      <c r="B85" s="91">
        <v>-3213</v>
      </c>
      <c r="C85" s="91">
        <v>8670.0000000000018</v>
      </c>
      <c r="D85" s="91">
        <v>5457.0000000000018</v>
      </c>
      <c r="E85" s="91">
        <v>-3213</v>
      </c>
      <c r="F85" s="91">
        <v>5457.0000000000018</v>
      </c>
      <c r="AB85" s="6"/>
    </row>
    <row r="86" spans="1:28" x14ac:dyDescent="0.3">
      <c r="A86" s="91">
        <v>400</v>
      </c>
      <c r="B86" s="91">
        <v>-3213</v>
      </c>
      <c r="C86" s="91">
        <v>9000</v>
      </c>
      <c r="D86" s="91">
        <v>5787</v>
      </c>
      <c r="E86" s="91">
        <v>-3213</v>
      </c>
      <c r="F86" s="91">
        <v>5787</v>
      </c>
      <c r="AB86" s="6"/>
    </row>
    <row r="87" spans="1:28" x14ac:dyDescent="0.3">
      <c r="A87" s="91">
        <v>402.6</v>
      </c>
      <c r="B87" s="91">
        <v>-2952.9999999999977</v>
      </c>
      <c r="C87" s="91">
        <v>9390.0000000000036</v>
      </c>
      <c r="D87" s="91">
        <v>6437.0000000000055</v>
      </c>
      <c r="E87" s="91">
        <v>-2952.9999999999977</v>
      </c>
      <c r="F87" s="91">
        <v>6437.0000000000055</v>
      </c>
      <c r="AB87" s="6"/>
    </row>
    <row r="88" spans="1:28" x14ac:dyDescent="0.3">
      <c r="A88" s="91">
        <v>407.39</v>
      </c>
      <c r="B88" s="91">
        <v>-2474.0000000000014</v>
      </c>
      <c r="C88" s="91">
        <v>10108.499999999998</v>
      </c>
      <c r="D88" s="91">
        <v>7634.4999999999964</v>
      </c>
      <c r="E88" s="91">
        <v>-2474.0000000000014</v>
      </c>
      <c r="F88" s="91">
        <v>7634.4999999999964</v>
      </c>
      <c r="AB88" s="6"/>
    </row>
    <row r="89" spans="1:28" x14ac:dyDescent="0.3">
      <c r="A89" s="91">
        <v>412.18</v>
      </c>
      <c r="B89" s="91">
        <v>-1994.9999999999995</v>
      </c>
      <c r="C89" s="91">
        <v>10827.000000000002</v>
      </c>
      <c r="D89" s="91">
        <v>8832.0000000000018</v>
      </c>
      <c r="E89" s="91">
        <v>-1994.9999999999995</v>
      </c>
      <c r="F89" s="91">
        <v>8832.0000000000018</v>
      </c>
      <c r="AB89" s="6"/>
    </row>
    <row r="90" spans="1:28" x14ac:dyDescent="0.3">
      <c r="A90" s="91">
        <v>416.97</v>
      </c>
      <c r="B90" s="91">
        <v>-1515.9999999999973</v>
      </c>
      <c r="C90" s="91">
        <v>11545.500000000004</v>
      </c>
      <c r="D90" s="91">
        <v>10029.500000000007</v>
      </c>
      <c r="E90" s="91">
        <v>-1515.9999999999973</v>
      </c>
      <c r="F90" s="91">
        <v>10029.500000000007</v>
      </c>
      <c r="AB90" s="6"/>
    </row>
    <row r="91" spans="1:28" x14ac:dyDescent="0.3">
      <c r="A91" s="91">
        <v>421.77</v>
      </c>
      <c r="B91" s="91">
        <v>-1036.0000000000018</v>
      </c>
      <c r="C91" s="91">
        <v>12265.499999999996</v>
      </c>
      <c r="D91" s="91">
        <v>11229.499999999995</v>
      </c>
      <c r="E91" s="91">
        <v>-1036.0000000000018</v>
      </c>
      <c r="F91" s="91">
        <v>11229.499999999995</v>
      </c>
      <c r="AB91" s="6"/>
    </row>
    <row r="92" spans="1:28" x14ac:dyDescent="0.3">
      <c r="A92" s="91">
        <v>426.56</v>
      </c>
      <c r="B92" s="91">
        <v>-556.99999999999977</v>
      </c>
      <c r="C92" s="91">
        <v>12984</v>
      </c>
      <c r="D92" s="91">
        <v>12427</v>
      </c>
      <c r="E92" s="91">
        <v>-556.99999999999977</v>
      </c>
      <c r="F92" s="91">
        <v>12427</v>
      </c>
      <c r="AB92" s="6"/>
    </row>
    <row r="93" spans="1:28" x14ac:dyDescent="0.3">
      <c r="A93" s="91">
        <v>431.35</v>
      </c>
      <c r="B93" s="91">
        <v>-77.99999999999774</v>
      </c>
      <c r="C93" s="91">
        <v>13702.500000000004</v>
      </c>
      <c r="D93" s="91">
        <v>13624.500000000005</v>
      </c>
      <c r="E93" s="91">
        <v>-77.99999999999774</v>
      </c>
      <c r="F93" s="91">
        <v>13624.500000000005</v>
      </c>
      <c r="AB93" s="6"/>
    </row>
    <row r="94" spans="1:28" x14ac:dyDescent="0.3">
      <c r="A94" s="91">
        <v>436.14</v>
      </c>
      <c r="B94" s="91">
        <v>400.99999999999864</v>
      </c>
      <c r="C94" s="91">
        <v>14420.999999999998</v>
      </c>
      <c r="D94" s="91">
        <v>14821.999999999996</v>
      </c>
      <c r="E94" s="91">
        <v>400.99999999999864</v>
      </c>
      <c r="F94" s="91">
        <v>14821.999999999996</v>
      </c>
      <c r="AB94" s="6"/>
    </row>
    <row r="95" spans="1:28" x14ac:dyDescent="0.3">
      <c r="A95" s="91">
        <v>440.94</v>
      </c>
      <c r="B95" s="91">
        <v>880.99999999999977</v>
      </c>
      <c r="C95" s="91">
        <v>15141</v>
      </c>
      <c r="D95" s="91">
        <v>16022</v>
      </c>
      <c r="E95" s="91">
        <v>880.99999999999977</v>
      </c>
      <c r="F95" s="91">
        <v>16022</v>
      </c>
      <c r="AB95" s="6"/>
    </row>
    <row r="96" spans="1:28" x14ac:dyDescent="0.3">
      <c r="A96" s="91">
        <v>445.73</v>
      </c>
      <c r="B96" s="91">
        <v>1360.0000000000018</v>
      </c>
      <c r="C96" s="91">
        <v>15859.500000000004</v>
      </c>
      <c r="D96" s="91">
        <v>17219.500000000007</v>
      </c>
      <c r="E96" s="91">
        <v>1360.0000000000018</v>
      </c>
      <c r="F96" s="91">
        <v>17219.500000000007</v>
      </c>
      <c r="AB96" s="6"/>
    </row>
    <row r="97" spans="1:28" x14ac:dyDescent="0.3">
      <c r="A97" s="91">
        <v>450</v>
      </c>
      <c r="B97" s="91">
        <v>1787</v>
      </c>
      <c r="C97" s="91">
        <v>16500</v>
      </c>
      <c r="D97" s="91">
        <v>18287</v>
      </c>
      <c r="E97" s="91">
        <v>1787</v>
      </c>
      <c r="F97" s="91">
        <v>18287</v>
      </c>
      <c r="AB97" s="6"/>
    </row>
    <row r="98" spans="1:28" x14ac:dyDescent="0.3">
      <c r="A98" s="91">
        <v>450.52</v>
      </c>
      <c r="B98" s="91">
        <v>1787</v>
      </c>
      <c r="C98" s="91">
        <v>16577.999999999996</v>
      </c>
      <c r="D98" s="91">
        <v>18364.999999999996</v>
      </c>
      <c r="E98" s="91">
        <v>1787</v>
      </c>
      <c r="F98" s="91">
        <v>18364.999999999996</v>
      </c>
      <c r="AB98" s="6"/>
    </row>
    <row r="99" spans="1:28" x14ac:dyDescent="0.3">
      <c r="A99" s="91">
        <v>455.32</v>
      </c>
      <c r="B99" s="91">
        <v>1787</v>
      </c>
      <c r="C99" s="91">
        <v>17298</v>
      </c>
      <c r="D99" s="91">
        <v>19085</v>
      </c>
      <c r="E99" s="91">
        <v>1787</v>
      </c>
      <c r="F99" s="91">
        <v>19085</v>
      </c>
      <c r="AB99" s="6"/>
    </row>
    <row r="100" spans="1:28" x14ac:dyDescent="0.3">
      <c r="A100" s="91">
        <v>460.11</v>
      </c>
      <c r="B100" s="91">
        <v>1787</v>
      </c>
      <c r="C100" s="91">
        <v>18016.500000000004</v>
      </c>
      <c r="D100" s="91">
        <v>19803.500000000004</v>
      </c>
      <c r="E100" s="91">
        <v>1787</v>
      </c>
      <c r="F100" s="91">
        <v>19803.500000000004</v>
      </c>
      <c r="AB100" s="6"/>
    </row>
    <row r="101" spans="1:28" x14ac:dyDescent="0.3">
      <c r="A101" s="91">
        <v>464.9</v>
      </c>
      <c r="B101" s="91">
        <v>1787</v>
      </c>
      <c r="C101" s="91">
        <v>18734.999999999996</v>
      </c>
      <c r="D101" s="91">
        <v>20521.999999999996</v>
      </c>
      <c r="E101" s="91">
        <v>1787</v>
      </c>
      <c r="F101" s="91">
        <v>20521.999999999996</v>
      </c>
      <c r="AB101" s="6"/>
    </row>
    <row r="102" spans="1:28" x14ac:dyDescent="0.3">
      <c r="A102" s="91">
        <v>469.69</v>
      </c>
      <c r="B102" s="91">
        <v>1787</v>
      </c>
      <c r="C102" s="91">
        <v>19453.5</v>
      </c>
      <c r="D102" s="91">
        <v>21240.5</v>
      </c>
      <c r="E102" s="91">
        <v>1787</v>
      </c>
      <c r="F102" s="91">
        <v>21240.5</v>
      </c>
      <c r="AB102" s="6"/>
    </row>
    <row r="103" spans="1:28" x14ac:dyDescent="0.3">
      <c r="A103" s="91">
        <v>474.49</v>
      </c>
      <c r="B103" s="91">
        <v>1787</v>
      </c>
      <c r="C103" s="91">
        <v>20173.5</v>
      </c>
      <c r="D103" s="91">
        <v>21960.5</v>
      </c>
      <c r="E103" s="91">
        <v>1787</v>
      </c>
      <c r="F103" s="91">
        <v>21960.5</v>
      </c>
      <c r="AB103" s="6"/>
    </row>
    <row r="104" spans="1:28" x14ac:dyDescent="0.3">
      <c r="A104" s="91">
        <v>479.28</v>
      </c>
      <c r="B104" s="91">
        <v>1787</v>
      </c>
      <c r="C104" s="91">
        <v>20891.999999999996</v>
      </c>
      <c r="D104" s="91">
        <v>22678.999999999996</v>
      </c>
      <c r="E104" s="91">
        <v>1787</v>
      </c>
      <c r="F104" s="91">
        <v>22678.999999999996</v>
      </c>
      <c r="AB104" s="6"/>
    </row>
    <row r="105" spans="1:28" x14ac:dyDescent="0.3">
      <c r="A105" s="91">
        <v>484.07</v>
      </c>
      <c r="B105" s="91">
        <v>1787</v>
      </c>
      <c r="C105" s="91">
        <v>21610.5</v>
      </c>
      <c r="D105" s="91">
        <v>23397.5</v>
      </c>
      <c r="E105" s="91">
        <v>1787</v>
      </c>
      <c r="F105" s="91">
        <v>23397.5</v>
      </c>
      <c r="AB105" s="6"/>
    </row>
    <row r="106" spans="1:28" x14ac:dyDescent="0.3">
      <c r="A106" s="91">
        <v>488.87</v>
      </c>
      <c r="B106" s="91">
        <v>1787</v>
      </c>
      <c r="C106" s="91">
        <v>22330.5</v>
      </c>
      <c r="D106" s="91">
        <v>24117.5</v>
      </c>
      <c r="E106" s="91">
        <v>1787</v>
      </c>
      <c r="F106" s="91">
        <v>24117.5</v>
      </c>
      <c r="AB106" s="6"/>
    </row>
    <row r="107" spans="1:28" x14ac:dyDescent="0.3">
      <c r="A107" s="91">
        <v>493.66</v>
      </c>
      <c r="B107" s="91">
        <v>1787</v>
      </c>
      <c r="C107" s="91">
        <v>23049.000000000004</v>
      </c>
      <c r="D107" s="91">
        <v>24836.000000000004</v>
      </c>
      <c r="E107" s="91">
        <v>1787</v>
      </c>
      <c r="F107" s="91">
        <v>24836.000000000004</v>
      </c>
      <c r="AB107" s="6"/>
    </row>
    <row r="108" spans="1:28" x14ac:dyDescent="0.3">
      <c r="A108" s="91">
        <v>498.45</v>
      </c>
      <c r="B108" s="91">
        <v>1787</v>
      </c>
      <c r="C108" s="91">
        <v>23767.5</v>
      </c>
      <c r="D108" s="91">
        <v>25554.5</v>
      </c>
      <c r="E108" s="91">
        <v>1787</v>
      </c>
      <c r="F108" s="91">
        <v>25554.5</v>
      </c>
      <c r="AB108" s="6"/>
    </row>
    <row r="109" spans="1:28" x14ac:dyDescent="0.3">
      <c r="A109" s="91">
        <v>500</v>
      </c>
      <c r="B109" s="91">
        <v>1787</v>
      </c>
      <c r="C109" s="91">
        <v>24000</v>
      </c>
      <c r="D109" s="91">
        <v>25787</v>
      </c>
      <c r="E109" s="91">
        <v>1787</v>
      </c>
      <c r="F109" s="91">
        <v>25787</v>
      </c>
      <c r="AB109" s="6"/>
    </row>
    <row r="110" spans="1:28" x14ac:dyDescent="0.3">
      <c r="A110" s="91">
        <v>503.24</v>
      </c>
      <c r="B110" s="91">
        <v>1462.9999999999991</v>
      </c>
      <c r="C110" s="91">
        <v>24486</v>
      </c>
      <c r="D110" s="91">
        <v>25949</v>
      </c>
      <c r="E110" s="91">
        <v>1462.9999999999991</v>
      </c>
      <c r="F110" s="91">
        <v>25949</v>
      </c>
      <c r="AB110" s="6"/>
    </row>
    <row r="111" spans="1:28" x14ac:dyDescent="0.3">
      <c r="A111" s="91">
        <v>508.04</v>
      </c>
      <c r="B111" s="91">
        <v>982.99999999999795</v>
      </c>
      <c r="C111" s="91">
        <v>25206.000000000004</v>
      </c>
      <c r="D111" s="91">
        <v>26189</v>
      </c>
      <c r="E111" s="91">
        <v>982.99999999999795</v>
      </c>
      <c r="F111" s="91">
        <v>26189</v>
      </c>
      <c r="AB111" s="6"/>
    </row>
    <row r="112" spans="1:28" x14ac:dyDescent="0.3">
      <c r="A112" s="91">
        <v>512.83000000000004</v>
      </c>
      <c r="B112" s="91">
        <v>503.99999999999591</v>
      </c>
      <c r="C112" s="91">
        <v>25924.500000000007</v>
      </c>
      <c r="D112" s="91">
        <v>26428.500000000004</v>
      </c>
      <c r="E112" s="91">
        <v>503.99999999999591</v>
      </c>
      <c r="F112" s="91">
        <v>26428.500000000004</v>
      </c>
      <c r="AB112" s="6"/>
    </row>
    <row r="113" spans="1:28" x14ac:dyDescent="0.3">
      <c r="A113" s="91">
        <v>517.62</v>
      </c>
      <c r="B113" s="91">
        <v>24.999999999999531</v>
      </c>
      <c r="C113" s="91">
        <v>26643</v>
      </c>
      <c r="D113" s="91">
        <v>26668</v>
      </c>
      <c r="E113" s="91">
        <v>24.999999999999531</v>
      </c>
      <c r="F113" s="91">
        <v>26668</v>
      </c>
      <c r="AB113" s="6"/>
    </row>
    <row r="114" spans="1:28" x14ac:dyDescent="0.3">
      <c r="A114" s="91">
        <v>522.41999999999996</v>
      </c>
      <c r="B114" s="91">
        <v>-454.99999999999591</v>
      </c>
      <c r="C114" s="91">
        <v>27362.999999999993</v>
      </c>
      <c r="D114" s="91">
        <v>26907.999999999996</v>
      </c>
      <c r="E114" s="91">
        <v>-454.99999999999591</v>
      </c>
      <c r="F114" s="91">
        <v>26907.999999999996</v>
      </c>
      <c r="AB114" s="6"/>
    </row>
    <row r="115" spans="1:28" x14ac:dyDescent="0.3">
      <c r="A115" s="91">
        <v>527.21</v>
      </c>
      <c r="B115" s="91">
        <v>-934.00000000000364</v>
      </c>
      <c r="C115" s="91">
        <v>28081.500000000007</v>
      </c>
      <c r="D115" s="91">
        <v>27147.500000000004</v>
      </c>
      <c r="E115" s="91">
        <v>-934.00000000000364</v>
      </c>
      <c r="F115" s="91">
        <v>27147.500000000004</v>
      </c>
      <c r="AB115" s="6"/>
    </row>
    <row r="116" spans="1:28" x14ac:dyDescent="0.3">
      <c r="A116" s="91">
        <v>532</v>
      </c>
      <c r="B116" s="91">
        <v>-1413</v>
      </c>
      <c r="C116" s="91">
        <v>28800</v>
      </c>
      <c r="D116" s="91">
        <v>27387</v>
      </c>
      <c r="E116" s="91">
        <v>-1413</v>
      </c>
      <c r="F116" s="91">
        <v>27387</v>
      </c>
      <c r="AB116" s="6"/>
    </row>
    <row r="117" spans="1:28" x14ac:dyDescent="0.3">
      <c r="A117" s="91">
        <v>536.79</v>
      </c>
      <c r="B117" s="91">
        <v>-1891.9999999999964</v>
      </c>
      <c r="C117" s="91">
        <v>29518.499999999993</v>
      </c>
      <c r="D117" s="91">
        <v>27626.499999999996</v>
      </c>
      <c r="E117" s="91">
        <v>-1891.9999999999964</v>
      </c>
      <c r="F117" s="91">
        <v>27626.499999999996</v>
      </c>
      <c r="AB117" s="6"/>
    </row>
    <row r="118" spans="1:28" x14ac:dyDescent="0.3">
      <c r="A118" s="91">
        <v>541.59</v>
      </c>
      <c r="B118" s="91">
        <v>-2372.0000000000032</v>
      </c>
      <c r="C118" s="91">
        <v>30238.500000000004</v>
      </c>
      <c r="D118" s="91">
        <v>27866.5</v>
      </c>
      <c r="E118" s="91">
        <v>-2372.0000000000032</v>
      </c>
      <c r="F118" s="91">
        <v>27866.5</v>
      </c>
      <c r="AB118" s="6"/>
    </row>
    <row r="119" spans="1:28" x14ac:dyDescent="0.3">
      <c r="A119" s="91">
        <v>546.38</v>
      </c>
      <c r="B119" s="91">
        <v>-2850.9999999999995</v>
      </c>
      <c r="C119" s="91">
        <v>30957</v>
      </c>
      <c r="D119" s="91">
        <v>28106</v>
      </c>
      <c r="E119" s="91">
        <v>-2850.9999999999995</v>
      </c>
      <c r="F119" s="91">
        <v>28106</v>
      </c>
      <c r="AB119" s="6"/>
    </row>
    <row r="120" spans="1:28" x14ac:dyDescent="0.3">
      <c r="A120" s="91">
        <v>550</v>
      </c>
      <c r="B120" s="91">
        <v>-3213</v>
      </c>
      <c r="C120" s="91">
        <v>31500</v>
      </c>
      <c r="D120" s="91">
        <v>28287</v>
      </c>
      <c r="E120" s="91">
        <v>-3213</v>
      </c>
      <c r="F120" s="91">
        <v>28287</v>
      </c>
      <c r="AB120" s="6"/>
    </row>
    <row r="121" spans="1:28" x14ac:dyDescent="0.3">
      <c r="A121" s="91">
        <v>551.16999999999996</v>
      </c>
      <c r="B121" s="91">
        <v>-3213</v>
      </c>
      <c r="C121" s="91">
        <v>31675.499999999993</v>
      </c>
      <c r="D121" s="91">
        <v>28462.499999999993</v>
      </c>
      <c r="E121" s="91">
        <v>-3213</v>
      </c>
      <c r="F121" s="91">
        <v>28462.499999999993</v>
      </c>
      <c r="AB121" s="6"/>
    </row>
    <row r="122" spans="1:28" x14ac:dyDescent="0.3">
      <c r="A122" s="91">
        <v>555.96</v>
      </c>
      <c r="B122" s="91">
        <v>-3213</v>
      </c>
      <c r="C122" s="91">
        <v>32394.000000000007</v>
      </c>
      <c r="D122" s="91">
        <v>29181.000000000007</v>
      </c>
      <c r="E122" s="91">
        <v>-3213</v>
      </c>
      <c r="F122" s="91">
        <v>29181.000000000007</v>
      </c>
    </row>
    <row r="123" spans="1:28" x14ac:dyDescent="0.3">
      <c r="A123" s="91">
        <v>560.76</v>
      </c>
      <c r="B123" s="91">
        <v>-3213</v>
      </c>
      <c r="C123" s="91">
        <v>33114</v>
      </c>
      <c r="D123" s="91">
        <v>29901</v>
      </c>
      <c r="E123" s="91">
        <v>-3213</v>
      </c>
      <c r="F123" s="91">
        <v>29901</v>
      </c>
    </row>
    <row r="124" spans="1:28" x14ac:dyDescent="0.3">
      <c r="A124" s="91">
        <v>565.54999999999995</v>
      </c>
      <c r="B124" s="91">
        <v>-3213</v>
      </c>
      <c r="C124" s="91">
        <v>33832.499999999993</v>
      </c>
      <c r="D124" s="91">
        <v>30619.499999999993</v>
      </c>
      <c r="E124" s="91">
        <v>-3213</v>
      </c>
      <c r="F124" s="91">
        <v>30619.499999999993</v>
      </c>
    </row>
    <row r="125" spans="1:28" x14ac:dyDescent="0.3">
      <c r="A125" s="91">
        <v>570.34</v>
      </c>
      <c r="B125" s="91">
        <v>-3213.0000000000005</v>
      </c>
      <c r="C125" s="91">
        <v>34551.000000000007</v>
      </c>
      <c r="D125" s="91">
        <v>31338.000000000007</v>
      </c>
      <c r="E125" s="91">
        <v>-3213.0000000000005</v>
      </c>
      <c r="F125" s="91">
        <v>31338.000000000007</v>
      </c>
    </row>
    <row r="126" spans="1:28" x14ac:dyDescent="0.3">
      <c r="A126" s="91">
        <v>575.14</v>
      </c>
      <c r="B126" s="91">
        <v>-3212.9999999999995</v>
      </c>
      <c r="C126" s="91">
        <v>35271</v>
      </c>
      <c r="D126" s="91">
        <v>32058</v>
      </c>
      <c r="E126" s="91">
        <v>-3212.9999999999995</v>
      </c>
      <c r="F126" s="91">
        <v>32058</v>
      </c>
    </row>
    <row r="127" spans="1:28" x14ac:dyDescent="0.3">
      <c r="A127" s="91">
        <v>579.92999999999995</v>
      </c>
      <c r="B127" s="91">
        <v>-3212.9999999999995</v>
      </c>
      <c r="C127" s="91">
        <v>35989.499999999993</v>
      </c>
      <c r="D127" s="91">
        <v>32776.499999999993</v>
      </c>
      <c r="E127" s="91">
        <v>-3212.9999999999995</v>
      </c>
      <c r="F127" s="91">
        <v>32776.499999999993</v>
      </c>
    </row>
    <row r="128" spans="1:28" x14ac:dyDescent="0.3">
      <c r="A128" s="91">
        <v>584.72</v>
      </c>
      <c r="B128" s="91">
        <v>-3213</v>
      </c>
      <c r="C128" s="91">
        <v>36708.000000000007</v>
      </c>
      <c r="D128" s="91">
        <v>33495.000000000007</v>
      </c>
      <c r="E128" s="91">
        <v>-3213</v>
      </c>
      <c r="F128" s="91">
        <v>33495.000000000007</v>
      </c>
    </row>
    <row r="129" spans="1:6" x14ac:dyDescent="0.3">
      <c r="A129" s="91">
        <v>589.51</v>
      </c>
      <c r="B129" s="91">
        <v>-3213</v>
      </c>
      <c r="C129" s="91">
        <v>37426.5</v>
      </c>
      <c r="D129" s="91">
        <v>34213.5</v>
      </c>
      <c r="E129" s="91">
        <v>-3213</v>
      </c>
      <c r="F129" s="91">
        <v>34213.5</v>
      </c>
    </row>
    <row r="130" spans="1:6" x14ac:dyDescent="0.3">
      <c r="A130" s="91">
        <v>594.30999999999995</v>
      </c>
      <c r="B130" s="91">
        <v>-3213</v>
      </c>
      <c r="C130" s="91">
        <v>38146.499999999993</v>
      </c>
      <c r="D130" s="91">
        <v>34933.499999999993</v>
      </c>
      <c r="E130" s="91">
        <v>-3213</v>
      </c>
      <c r="F130" s="91">
        <v>34933.499999999993</v>
      </c>
    </row>
    <row r="131" spans="1:6" x14ac:dyDescent="0.3">
      <c r="A131" s="91">
        <v>599.1</v>
      </c>
      <c r="B131" s="91">
        <v>-3212.9999999999995</v>
      </c>
      <c r="C131" s="91">
        <v>38865</v>
      </c>
      <c r="D131" s="91">
        <v>35652</v>
      </c>
      <c r="E131" s="91">
        <v>-3212.9999999999995</v>
      </c>
      <c r="F131" s="91">
        <v>35652</v>
      </c>
    </row>
    <row r="132" spans="1:6" x14ac:dyDescent="0.3">
      <c r="A132" s="91">
        <v>603.89</v>
      </c>
      <c r="B132" s="91">
        <v>-3212.9999999999995</v>
      </c>
      <c r="C132" s="91">
        <v>39583.5</v>
      </c>
      <c r="D132" s="91">
        <v>36370.5</v>
      </c>
      <c r="E132" s="91">
        <v>-3212.9999999999995</v>
      </c>
      <c r="F132" s="91">
        <v>36370.5</v>
      </c>
    </row>
    <row r="133" spans="1:6" x14ac:dyDescent="0.3">
      <c r="A133" s="91">
        <v>608.69000000000005</v>
      </c>
      <c r="B133" s="91">
        <v>-3213</v>
      </c>
      <c r="C133" s="91">
        <v>40303.500000000007</v>
      </c>
      <c r="D133" s="91">
        <v>37090.500000000007</v>
      </c>
      <c r="E133" s="91">
        <v>-3213</v>
      </c>
      <c r="F133" s="91">
        <v>37090.500000000007</v>
      </c>
    </row>
    <row r="134" spans="1:6" x14ac:dyDescent="0.3">
      <c r="A134" s="91">
        <v>613.48</v>
      </c>
      <c r="B134" s="91">
        <v>-3213</v>
      </c>
      <c r="C134" s="91">
        <v>41022</v>
      </c>
      <c r="D134" s="91">
        <v>37809</v>
      </c>
      <c r="E134" s="91">
        <v>-3213</v>
      </c>
      <c r="F134" s="91">
        <v>37809</v>
      </c>
    </row>
    <row r="135" spans="1:6" x14ac:dyDescent="0.3">
      <c r="A135" s="91">
        <v>618.27</v>
      </c>
      <c r="B135" s="91">
        <v>-3213</v>
      </c>
      <c r="C135" s="91">
        <v>41740.5</v>
      </c>
      <c r="D135" s="91">
        <v>38527.5</v>
      </c>
      <c r="E135" s="91">
        <v>-3213</v>
      </c>
      <c r="F135" s="91">
        <v>38527.5</v>
      </c>
    </row>
    <row r="136" spans="1:6" x14ac:dyDescent="0.3">
      <c r="A136" s="91">
        <v>623.05999999999995</v>
      </c>
      <c r="B136" s="91">
        <v>-3213</v>
      </c>
      <c r="C136" s="91">
        <v>42458.999999999993</v>
      </c>
      <c r="D136" s="91">
        <v>39245.999999999993</v>
      </c>
      <c r="E136" s="91">
        <v>-3213</v>
      </c>
      <c r="F136" s="91">
        <v>39245.999999999993</v>
      </c>
    </row>
    <row r="137" spans="1:6" x14ac:dyDescent="0.3">
      <c r="A137" s="91">
        <v>627.86</v>
      </c>
      <c r="B137" s="91">
        <v>-3213.0000000000005</v>
      </c>
      <c r="C137" s="91">
        <v>43179</v>
      </c>
      <c r="D137" s="91">
        <v>39966</v>
      </c>
      <c r="E137" s="91">
        <v>-3213.0000000000005</v>
      </c>
      <c r="F137" s="91">
        <v>39966</v>
      </c>
    </row>
    <row r="138" spans="1:6" x14ac:dyDescent="0.3">
      <c r="A138" s="91">
        <v>632.65</v>
      </c>
      <c r="B138" s="91">
        <v>-3213.0000000000005</v>
      </c>
      <c r="C138" s="91">
        <v>43897.5</v>
      </c>
      <c r="D138" s="91">
        <v>40684.5</v>
      </c>
      <c r="E138" s="91">
        <v>-3213.0000000000005</v>
      </c>
      <c r="F138" s="91">
        <v>40684.5</v>
      </c>
    </row>
    <row r="139" spans="1:6" x14ac:dyDescent="0.3">
      <c r="A139" s="91">
        <v>637.44000000000005</v>
      </c>
      <c r="B139" s="91">
        <v>-3213</v>
      </c>
      <c r="C139" s="91">
        <v>44616.000000000007</v>
      </c>
      <c r="D139" s="91">
        <v>41403.000000000007</v>
      </c>
      <c r="E139" s="91">
        <v>-3213</v>
      </c>
      <c r="F139" s="91">
        <v>41403.000000000007</v>
      </c>
    </row>
    <row r="140" spans="1:6" x14ac:dyDescent="0.3">
      <c r="A140" s="91">
        <v>642.24</v>
      </c>
      <c r="B140" s="91">
        <v>-3212.9999999999991</v>
      </c>
      <c r="C140" s="91">
        <v>45336</v>
      </c>
      <c r="D140" s="91">
        <v>42123</v>
      </c>
      <c r="E140" s="91">
        <v>-3212.9999999999991</v>
      </c>
      <c r="F140" s="91">
        <v>42123</v>
      </c>
    </row>
    <row r="141" spans="1:6" x14ac:dyDescent="0.3">
      <c r="A141" s="91">
        <v>647.03</v>
      </c>
      <c r="B141" s="91">
        <v>-3212.9999999999991</v>
      </c>
      <c r="C141" s="91">
        <v>46054.499999999993</v>
      </c>
      <c r="D141" s="91">
        <v>42841.499999999993</v>
      </c>
      <c r="E141" s="91">
        <v>-3212.9999999999991</v>
      </c>
      <c r="F141" s="91">
        <v>42841.499999999993</v>
      </c>
    </row>
    <row r="142" spans="1:6" x14ac:dyDescent="0.3">
      <c r="A142" s="91">
        <v>651.82000000000005</v>
      </c>
      <c r="B142" s="91">
        <v>-3213.0000000000005</v>
      </c>
      <c r="C142" s="91">
        <v>46773.000000000007</v>
      </c>
      <c r="D142" s="91">
        <v>43560.000000000007</v>
      </c>
      <c r="E142" s="91">
        <v>-3213.0000000000005</v>
      </c>
      <c r="F142" s="91">
        <v>43560.000000000007</v>
      </c>
    </row>
    <row r="143" spans="1:6" x14ac:dyDescent="0.3">
      <c r="A143" s="91">
        <v>656.61</v>
      </c>
      <c r="B143" s="91">
        <v>-3213.0000000000005</v>
      </c>
      <c r="C143" s="91">
        <v>47491.5</v>
      </c>
      <c r="D143" s="91">
        <v>44278.5</v>
      </c>
      <c r="E143" s="91">
        <v>-3213.0000000000005</v>
      </c>
      <c r="F143" s="91">
        <v>44278.5</v>
      </c>
    </row>
    <row r="144" spans="1:6" x14ac:dyDescent="0.3">
      <c r="A144" s="91">
        <v>661.41</v>
      </c>
      <c r="B144" s="91">
        <v>-3212.9999999999995</v>
      </c>
      <c r="C144" s="91">
        <v>48211.499999999993</v>
      </c>
      <c r="D144" s="91">
        <v>44998.499999999993</v>
      </c>
      <c r="E144" s="91">
        <v>-3212.9999999999995</v>
      </c>
      <c r="F144" s="91">
        <v>44998.499999999993</v>
      </c>
    </row>
    <row r="145" spans="1:6" x14ac:dyDescent="0.3">
      <c r="A145" s="91">
        <v>666.2</v>
      </c>
      <c r="B145" s="91">
        <v>-3212.9999999999991</v>
      </c>
      <c r="C145" s="91">
        <v>48930.000000000007</v>
      </c>
      <c r="D145" s="91">
        <v>45717.000000000007</v>
      </c>
      <c r="E145" s="91">
        <v>-3212.9999999999991</v>
      </c>
      <c r="F145" s="91">
        <v>45717.000000000007</v>
      </c>
    </row>
    <row r="146" spans="1:6" x14ac:dyDescent="0.3">
      <c r="A146" s="91">
        <v>670.99</v>
      </c>
      <c r="B146" s="91">
        <v>-3212.9999999999991</v>
      </c>
      <c r="C146" s="91">
        <v>49648.5</v>
      </c>
      <c r="D146" s="91">
        <v>46435.5</v>
      </c>
      <c r="E146" s="91">
        <v>-3212.9999999999991</v>
      </c>
      <c r="F146" s="91">
        <v>46435.5</v>
      </c>
    </row>
    <row r="147" spans="1:6" x14ac:dyDescent="0.3">
      <c r="A147" s="91">
        <v>675.78</v>
      </c>
      <c r="B147" s="91">
        <v>-3212.9999999999991</v>
      </c>
      <c r="C147" s="91">
        <v>50366.999999999993</v>
      </c>
      <c r="D147" s="91">
        <v>47153.999999999993</v>
      </c>
      <c r="E147" s="91">
        <v>-3212.9999999999991</v>
      </c>
      <c r="F147" s="91">
        <v>47153.999999999993</v>
      </c>
    </row>
    <row r="148" spans="1:6" x14ac:dyDescent="0.3">
      <c r="A148" s="91">
        <v>680.58</v>
      </c>
      <c r="B148" s="91">
        <v>-3212.9999999999995</v>
      </c>
      <c r="C148" s="91">
        <v>51087.000000000007</v>
      </c>
      <c r="D148" s="91">
        <v>47874.000000000007</v>
      </c>
      <c r="E148" s="91">
        <v>-3212.9999999999995</v>
      </c>
      <c r="F148" s="91">
        <v>47874.000000000007</v>
      </c>
    </row>
    <row r="149" spans="1:6" x14ac:dyDescent="0.3">
      <c r="A149" s="91">
        <v>685.37</v>
      </c>
      <c r="B149" s="91">
        <v>-3212.9999999999995</v>
      </c>
      <c r="C149" s="91">
        <v>51805.5</v>
      </c>
      <c r="D149" s="91">
        <v>48592.5</v>
      </c>
      <c r="E149" s="91">
        <v>-3212.9999999999995</v>
      </c>
      <c r="F149" s="91">
        <v>48592.5</v>
      </c>
    </row>
    <row r="150" spans="1:6" x14ac:dyDescent="0.3">
      <c r="A150" s="91">
        <v>690.16</v>
      </c>
      <c r="B150" s="91">
        <v>-3212.9999999999995</v>
      </c>
      <c r="C150" s="91">
        <v>52523.999999999993</v>
      </c>
      <c r="D150" s="91">
        <v>49310.999999999993</v>
      </c>
      <c r="E150" s="91">
        <v>-3212.9999999999995</v>
      </c>
      <c r="F150" s="91">
        <v>49310.999999999993</v>
      </c>
    </row>
    <row r="151" spans="1:6" x14ac:dyDescent="0.3">
      <c r="A151" s="91">
        <v>694.96</v>
      </c>
      <c r="B151" s="91">
        <v>-3213</v>
      </c>
      <c r="C151" s="91">
        <v>53244.000000000007</v>
      </c>
      <c r="D151" s="91">
        <v>50031.000000000007</v>
      </c>
      <c r="E151" s="91">
        <v>-3213</v>
      </c>
      <c r="F151" s="91">
        <v>50031.000000000007</v>
      </c>
    </row>
    <row r="152" spans="1:6" x14ac:dyDescent="0.3">
      <c r="A152" s="91">
        <v>699.75</v>
      </c>
      <c r="B152" s="91">
        <v>-3213</v>
      </c>
      <c r="C152" s="91">
        <v>53962.5</v>
      </c>
      <c r="D152" s="91">
        <v>50749.5</v>
      </c>
      <c r="E152" s="91">
        <v>-3213</v>
      </c>
      <c r="F152" s="91">
        <v>50749.5</v>
      </c>
    </row>
    <row r="153" spans="1:6" x14ac:dyDescent="0.3">
      <c r="A153" s="91">
        <v>704.54</v>
      </c>
      <c r="B153" s="91">
        <v>-3213</v>
      </c>
      <c r="C153" s="91">
        <v>54680.999999999993</v>
      </c>
      <c r="D153" s="91">
        <v>51467.999999999993</v>
      </c>
      <c r="E153" s="91">
        <v>-3213</v>
      </c>
      <c r="F153" s="91">
        <v>51467.999999999993</v>
      </c>
    </row>
    <row r="154" spans="1:6" x14ac:dyDescent="0.3">
      <c r="A154" s="91">
        <v>709.33</v>
      </c>
      <c r="B154" s="91">
        <v>-3212.9999999999995</v>
      </c>
      <c r="C154" s="91">
        <v>55399.500000000007</v>
      </c>
      <c r="D154" s="91">
        <v>52186.500000000007</v>
      </c>
      <c r="E154" s="91">
        <v>-3212.9999999999995</v>
      </c>
      <c r="F154" s="91">
        <v>52186.500000000007</v>
      </c>
    </row>
    <row r="155" spans="1:6" x14ac:dyDescent="0.3">
      <c r="A155" s="91">
        <v>714.13</v>
      </c>
      <c r="B155" s="91">
        <v>-3213.0000000000005</v>
      </c>
      <c r="C155" s="91">
        <v>56119.5</v>
      </c>
      <c r="D155" s="91">
        <v>52906.5</v>
      </c>
      <c r="E155" s="91">
        <v>-3213.0000000000005</v>
      </c>
      <c r="F155" s="91">
        <v>52906.5</v>
      </c>
    </row>
    <row r="156" spans="1:6" x14ac:dyDescent="0.3">
      <c r="A156" s="91">
        <v>718.92</v>
      </c>
      <c r="B156" s="91">
        <v>-3213.0000000000005</v>
      </c>
      <c r="C156" s="91">
        <v>56837.999999999993</v>
      </c>
      <c r="D156" s="91">
        <v>53624.999999999993</v>
      </c>
      <c r="E156" s="91">
        <v>-3213.0000000000005</v>
      </c>
      <c r="F156" s="91">
        <v>53624.999999999993</v>
      </c>
    </row>
    <row r="157" spans="1:6" x14ac:dyDescent="0.3">
      <c r="A157" s="91">
        <v>723.71</v>
      </c>
      <c r="B157" s="91">
        <v>-3213</v>
      </c>
      <c r="C157" s="91">
        <v>57556.500000000007</v>
      </c>
      <c r="D157" s="91">
        <v>54343.500000000007</v>
      </c>
      <c r="E157" s="91">
        <v>-3213</v>
      </c>
      <c r="F157" s="91">
        <v>54343.500000000007</v>
      </c>
    </row>
    <row r="158" spans="1:6" x14ac:dyDescent="0.3">
      <c r="A158" s="91">
        <v>728.51</v>
      </c>
      <c r="B158" s="91">
        <v>-3213.0000000000009</v>
      </c>
      <c r="C158" s="91">
        <v>58276.5</v>
      </c>
      <c r="D158" s="91">
        <v>55063.5</v>
      </c>
      <c r="E158" s="91">
        <v>-3213.0000000000009</v>
      </c>
      <c r="F158" s="91">
        <v>55063.5</v>
      </c>
    </row>
    <row r="159" spans="1:6" x14ac:dyDescent="0.3">
      <c r="A159" s="91">
        <v>733.3</v>
      </c>
      <c r="B159" s="91">
        <v>-3213.0000000000009</v>
      </c>
      <c r="C159" s="91">
        <v>58994.999999999993</v>
      </c>
      <c r="D159" s="91">
        <v>55781.999999999993</v>
      </c>
      <c r="E159" s="91">
        <v>-3213.0000000000009</v>
      </c>
      <c r="F159" s="91">
        <v>55781.999999999993</v>
      </c>
    </row>
    <row r="160" spans="1:6" x14ac:dyDescent="0.3">
      <c r="A160" s="91">
        <v>738.09</v>
      </c>
      <c r="B160" s="91">
        <v>-3213.0000000000005</v>
      </c>
      <c r="C160" s="91">
        <v>59713.500000000007</v>
      </c>
      <c r="D160" s="91">
        <v>56500.500000000007</v>
      </c>
      <c r="E160" s="91">
        <v>-3213.0000000000005</v>
      </c>
      <c r="F160" s="91">
        <v>56500.500000000007</v>
      </c>
    </row>
    <row r="161" spans="1:6" x14ac:dyDescent="0.3">
      <c r="A161" s="91">
        <v>742.88</v>
      </c>
      <c r="B161" s="91">
        <v>-3213.0000000000005</v>
      </c>
      <c r="C161" s="91">
        <v>60432</v>
      </c>
      <c r="D161" s="91">
        <v>57219</v>
      </c>
      <c r="E161" s="91">
        <v>-3213.0000000000005</v>
      </c>
      <c r="F161" s="91">
        <v>57219</v>
      </c>
    </row>
    <row r="162" spans="1:6" x14ac:dyDescent="0.3">
      <c r="A162" s="91">
        <v>747.68</v>
      </c>
      <c r="B162" s="91">
        <v>-3213.0000000000014</v>
      </c>
      <c r="C162" s="91">
        <v>61151.999999999993</v>
      </c>
      <c r="D162" s="91">
        <v>57938.999999999993</v>
      </c>
      <c r="E162" s="91">
        <v>-3213.0000000000014</v>
      </c>
      <c r="F162" s="91">
        <v>57938.999999999993</v>
      </c>
    </row>
    <row r="163" spans="1:6" x14ac:dyDescent="0.3">
      <c r="A163" s="91">
        <v>752.47</v>
      </c>
      <c r="B163" s="91">
        <v>-3213.0000000000009</v>
      </c>
      <c r="C163" s="91">
        <v>61870.500000000007</v>
      </c>
      <c r="D163" s="91">
        <v>58657.500000000007</v>
      </c>
      <c r="E163" s="91">
        <v>-3213.0000000000009</v>
      </c>
      <c r="F163" s="91">
        <v>58657.500000000007</v>
      </c>
    </row>
    <row r="164" spans="1:6" x14ac:dyDescent="0.3">
      <c r="A164" s="91">
        <v>757.26</v>
      </c>
      <c r="B164" s="91">
        <v>-3213.0000000000009</v>
      </c>
      <c r="C164" s="91">
        <v>62589</v>
      </c>
      <c r="D164" s="91">
        <v>59376</v>
      </c>
      <c r="E164" s="91">
        <v>-3213.0000000000009</v>
      </c>
      <c r="F164" s="91">
        <v>59376</v>
      </c>
    </row>
    <row r="165" spans="1:6" x14ac:dyDescent="0.3">
      <c r="A165" s="91">
        <v>762.06</v>
      </c>
      <c r="B165" s="91">
        <v>-3212.9999999999982</v>
      </c>
      <c r="C165" s="91">
        <v>63308.999999999993</v>
      </c>
      <c r="D165" s="91">
        <v>60095.999999999993</v>
      </c>
      <c r="E165" s="91">
        <v>-3212.9999999999982</v>
      </c>
      <c r="F165" s="91">
        <v>60095.999999999993</v>
      </c>
    </row>
    <row r="166" spans="1:6" x14ac:dyDescent="0.3">
      <c r="A166" s="91">
        <v>766.85</v>
      </c>
      <c r="B166" s="91">
        <v>-3213.0000000000014</v>
      </c>
      <c r="C166" s="91">
        <v>64027.5</v>
      </c>
      <c r="D166" s="91">
        <v>60814.5</v>
      </c>
      <c r="E166" s="91">
        <v>-3213.0000000000014</v>
      </c>
      <c r="F166" s="91">
        <v>60814.5</v>
      </c>
    </row>
    <row r="167" spans="1:6" x14ac:dyDescent="0.3">
      <c r="A167" s="91">
        <v>771.64</v>
      </c>
      <c r="B167" s="91">
        <v>-3213.0000000000014</v>
      </c>
      <c r="C167" s="91">
        <v>64746</v>
      </c>
      <c r="D167" s="91">
        <v>61533</v>
      </c>
      <c r="E167" s="91">
        <v>-3213.0000000000014</v>
      </c>
      <c r="F167" s="91">
        <v>61533</v>
      </c>
    </row>
    <row r="168" spans="1:6" x14ac:dyDescent="0.3">
      <c r="A168" s="91">
        <v>776.43</v>
      </c>
      <c r="B168" s="91">
        <v>-3213.0000000000014</v>
      </c>
      <c r="C168" s="91">
        <v>65464.499999999993</v>
      </c>
      <c r="D168" s="91">
        <v>62251.499999999993</v>
      </c>
      <c r="E168" s="91">
        <v>-3213.0000000000014</v>
      </c>
      <c r="F168" s="91">
        <v>62251.499999999993</v>
      </c>
    </row>
    <row r="169" spans="1:6" x14ac:dyDescent="0.3">
      <c r="A169" s="91">
        <v>781.23</v>
      </c>
      <c r="B169" s="91">
        <v>-3212.9999999999982</v>
      </c>
      <c r="C169" s="91">
        <v>66184.5</v>
      </c>
      <c r="D169" s="91">
        <v>62971.5</v>
      </c>
      <c r="E169" s="91">
        <v>-3212.9999999999982</v>
      </c>
      <c r="F169" s="91">
        <v>62971.5</v>
      </c>
    </row>
    <row r="170" spans="1:6" x14ac:dyDescent="0.3">
      <c r="A170" s="91">
        <v>786.02</v>
      </c>
      <c r="B170" s="91">
        <v>-3213.0000000000018</v>
      </c>
      <c r="C170" s="91">
        <v>66903</v>
      </c>
      <c r="D170" s="91">
        <v>63690</v>
      </c>
      <c r="E170" s="91">
        <v>-3213.0000000000018</v>
      </c>
      <c r="F170" s="91">
        <v>63690</v>
      </c>
    </row>
    <row r="171" spans="1:6" x14ac:dyDescent="0.3">
      <c r="A171" s="91">
        <v>790.81</v>
      </c>
      <c r="B171" s="91">
        <v>-3212.9999999999982</v>
      </c>
      <c r="C171" s="91">
        <v>67621.499999999985</v>
      </c>
      <c r="D171" s="91">
        <v>64408.499999999985</v>
      </c>
      <c r="E171" s="91">
        <v>-3212.9999999999982</v>
      </c>
      <c r="F171" s="91">
        <v>64408.499999999985</v>
      </c>
    </row>
    <row r="172" spans="1:6" x14ac:dyDescent="0.3">
      <c r="A172" s="91">
        <v>795.6</v>
      </c>
      <c r="B172" s="91">
        <v>-3213.0000000000014</v>
      </c>
      <c r="C172" s="91">
        <v>68340</v>
      </c>
      <c r="D172" s="91">
        <v>65127</v>
      </c>
      <c r="E172" s="91">
        <v>-3213.0000000000014</v>
      </c>
      <c r="F172" s="91">
        <v>65127</v>
      </c>
    </row>
    <row r="173" spans="1:6" x14ac:dyDescent="0.3">
      <c r="A173" s="91">
        <v>800.4</v>
      </c>
      <c r="B173" s="91">
        <v>-3212.9999999999986</v>
      </c>
      <c r="C173" s="91">
        <v>69060</v>
      </c>
      <c r="D173" s="91">
        <v>65847</v>
      </c>
      <c r="E173" s="91">
        <v>-3212.9999999999986</v>
      </c>
      <c r="F173" s="91">
        <v>65847</v>
      </c>
    </row>
    <row r="174" spans="1:6" x14ac:dyDescent="0.3">
      <c r="A174" s="91">
        <v>805.19</v>
      </c>
      <c r="B174" s="91">
        <v>-3213.0000000000018</v>
      </c>
      <c r="C174" s="91">
        <v>69778.500000000015</v>
      </c>
      <c r="D174" s="91">
        <v>66565.500000000015</v>
      </c>
      <c r="E174" s="91">
        <v>-3213.0000000000018</v>
      </c>
      <c r="F174" s="91">
        <v>66565.500000000015</v>
      </c>
    </row>
    <row r="175" spans="1:6" x14ac:dyDescent="0.3">
      <c r="A175" s="91">
        <v>809.98</v>
      </c>
      <c r="B175" s="91">
        <v>-3212.9999999999982</v>
      </c>
      <c r="C175" s="91">
        <v>70497</v>
      </c>
      <c r="D175" s="91">
        <v>67284</v>
      </c>
      <c r="E175" s="91">
        <v>-3212.9999999999982</v>
      </c>
      <c r="F175" s="91">
        <v>67284</v>
      </c>
    </row>
    <row r="176" spans="1:6" x14ac:dyDescent="0.3">
      <c r="A176" s="91">
        <v>814.78</v>
      </c>
      <c r="B176" s="91">
        <v>-3212.9999999999991</v>
      </c>
      <c r="C176" s="91">
        <v>71217</v>
      </c>
      <c r="D176" s="91">
        <v>68004</v>
      </c>
      <c r="E176" s="91">
        <v>-3212.9999999999991</v>
      </c>
      <c r="F176" s="91">
        <v>68004</v>
      </c>
    </row>
    <row r="177" spans="1:6" x14ac:dyDescent="0.3">
      <c r="A177" s="91">
        <v>819.57</v>
      </c>
      <c r="B177" s="91">
        <v>-3212.9999999999986</v>
      </c>
      <c r="C177" s="91">
        <v>71935.500000000015</v>
      </c>
      <c r="D177" s="91">
        <v>68722.500000000015</v>
      </c>
      <c r="E177" s="91">
        <v>-3212.9999999999986</v>
      </c>
      <c r="F177" s="91">
        <v>68722.500000000015</v>
      </c>
    </row>
    <row r="178" spans="1:6" x14ac:dyDescent="0.3">
      <c r="A178" s="91">
        <v>824.36</v>
      </c>
      <c r="B178" s="91">
        <v>-3212.9999999999986</v>
      </c>
      <c r="C178" s="91">
        <v>72654</v>
      </c>
      <c r="D178" s="91">
        <v>69441</v>
      </c>
      <c r="E178" s="91">
        <v>-3212.9999999999986</v>
      </c>
      <c r="F178" s="91">
        <v>69441</v>
      </c>
    </row>
    <row r="179" spans="1:6" x14ac:dyDescent="0.3">
      <c r="A179" s="91">
        <v>829.15</v>
      </c>
      <c r="B179" s="91">
        <v>-3212.9999999999986</v>
      </c>
      <c r="C179" s="91">
        <v>73372.5</v>
      </c>
      <c r="D179" s="91">
        <v>70159.5</v>
      </c>
      <c r="E179" s="91">
        <v>-3212.9999999999986</v>
      </c>
      <c r="F179" s="91">
        <v>70159.5</v>
      </c>
    </row>
    <row r="180" spans="1:6" x14ac:dyDescent="0.3">
      <c r="A180" s="91">
        <v>833.95</v>
      </c>
      <c r="B180" s="91">
        <v>-3212.9999999999991</v>
      </c>
      <c r="C180" s="91">
        <v>74092.5</v>
      </c>
      <c r="D180" s="91">
        <v>70879.5</v>
      </c>
      <c r="E180" s="91">
        <v>-3212.9999999999991</v>
      </c>
      <c r="F180" s="91">
        <v>70879.5</v>
      </c>
    </row>
    <row r="181" spans="1:6" x14ac:dyDescent="0.3">
      <c r="A181" s="91">
        <v>838.74</v>
      </c>
      <c r="B181" s="91">
        <v>-3212.9999999999991</v>
      </c>
      <c r="C181" s="91">
        <v>74811</v>
      </c>
      <c r="D181" s="91">
        <v>71598</v>
      </c>
      <c r="E181" s="91">
        <v>-3212.9999999999991</v>
      </c>
      <c r="F181" s="91">
        <v>71598</v>
      </c>
    </row>
    <row r="182" spans="1:6" x14ac:dyDescent="0.3">
      <c r="A182" s="91">
        <v>843.53</v>
      </c>
      <c r="B182" s="91">
        <v>-3212.9999999999991</v>
      </c>
      <c r="C182" s="91">
        <v>75529.5</v>
      </c>
      <c r="D182" s="91">
        <v>72316.5</v>
      </c>
      <c r="E182" s="91">
        <v>-3212.9999999999991</v>
      </c>
      <c r="F182" s="91">
        <v>72316.5</v>
      </c>
    </row>
    <row r="183" spans="1:6" x14ac:dyDescent="0.3">
      <c r="A183" s="91">
        <v>848.33</v>
      </c>
      <c r="B183" s="91">
        <v>-3212.9999999999995</v>
      </c>
      <c r="C183" s="91">
        <v>76249.5</v>
      </c>
      <c r="D183" s="91">
        <v>73036.5</v>
      </c>
      <c r="E183" s="91">
        <v>-3212.9999999999995</v>
      </c>
      <c r="F183" s="91">
        <v>73036.5</v>
      </c>
    </row>
    <row r="184" spans="1:6" x14ac:dyDescent="0.3">
      <c r="A184" s="91">
        <v>853.12</v>
      </c>
      <c r="B184" s="91">
        <v>-3212.9999999999995</v>
      </c>
      <c r="C184" s="91">
        <v>76968</v>
      </c>
      <c r="D184" s="91">
        <v>73755</v>
      </c>
      <c r="E184" s="91">
        <v>-3212.9999999999995</v>
      </c>
      <c r="F184" s="91">
        <v>73755</v>
      </c>
    </row>
    <row r="185" spans="1:6" x14ac:dyDescent="0.3">
      <c r="A185" s="91">
        <v>857.91</v>
      </c>
      <c r="B185" s="91">
        <v>-3213.0000000000032</v>
      </c>
      <c r="C185" s="91">
        <v>77686.5</v>
      </c>
      <c r="D185" s="91">
        <v>74473.5</v>
      </c>
      <c r="E185" s="91">
        <v>-3213.0000000000032</v>
      </c>
      <c r="F185" s="91">
        <v>74473.5</v>
      </c>
    </row>
    <row r="186" spans="1:6" x14ac:dyDescent="0.3">
      <c r="A186" s="91">
        <v>862.7</v>
      </c>
      <c r="B186" s="91">
        <v>-3213.0000000000027</v>
      </c>
      <c r="C186" s="91">
        <v>78405</v>
      </c>
      <c r="D186" s="91">
        <v>75192</v>
      </c>
      <c r="E186" s="91">
        <v>-3213.0000000000027</v>
      </c>
      <c r="F186" s="91">
        <v>75192</v>
      </c>
    </row>
    <row r="187" spans="1:6" x14ac:dyDescent="0.3">
      <c r="A187" s="91">
        <v>867.5</v>
      </c>
      <c r="B187" s="91">
        <v>-3213</v>
      </c>
      <c r="C187" s="91">
        <v>79125</v>
      </c>
      <c r="D187" s="91">
        <v>75912</v>
      </c>
      <c r="E187" s="91">
        <v>-3213</v>
      </c>
      <c r="F187" s="91">
        <v>75912</v>
      </c>
    </row>
    <row r="188" spans="1:6" x14ac:dyDescent="0.3">
      <c r="A188" s="91">
        <v>872.29</v>
      </c>
      <c r="B188" s="91">
        <v>-3213.0000000000036</v>
      </c>
      <c r="C188" s="91">
        <v>79843.5</v>
      </c>
      <c r="D188" s="91">
        <v>76630.5</v>
      </c>
      <c r="E188" s="91">
        <v>-3213.0000000000036</v>
      </c>
      <c r="F188" s="91">
        <v>76630.5</v>
      </c>
    </row>
    <row r="189" spans="1:6" x14ac:dyDescent="0.3">
      <c r="A189" s="91">
        <v>877.08</v>
      </c>
      <c r="B189" s="91">
        <v>-3213.0000000000032</v>
      </c>
      <c r="C189" s="91">
        <v>80562</v>
      </c>
      <c r="D189" s="91">
        <v>77349</v>
      </c>
      <c r="E189" s="91">
        <v>-3213.0000000000032</v>
      </c>
      <c r="F189" s="91">
        <v>77349</v>
      </c>
    </row>
    <row r="190" spans="1:6" x14ac:dyDescent="0.3">
      <c r="A190" s="91">
        <v>881.88</v>
      </c>
      <c r="B190" s="91">
        <v>-3213.0000000000005</v>
      </c>
      <c r="C190" s="91">
        <v>81282</v>
      </c>
      <c r="D190" s="91">
        <v>78069</v>
      </c>
      <c r="E190" s="91">
        <v>-3213.0000000000005</v>
      </c>
      <c r="F190" s="91">
        <v>78069</v>
      </c>
    </row>
    <row r="191" spans="1:6" x14ac:dyDescent="0.3">
      <c r="A191" s="91">
        <v>886.67</v>
      </c>
      <c r="B191" s="91">
        <v>-3212.9999999999968</v>
      </c>
      <c r="C191" s="91">
        <v>82000.5</v>
      </c>
      <c r="D191" s="91">
        <v>78787.5</v>
      </c>
      <c r="E191" s="91">
        <v>-3212.9999999999968</v>
      </c>
      <c r="F191" s="91">
        <v>78787.5</v>
      </c>
    </row>
    <row r="192" spans="1:6" x14ac:dyDescent="0.3">
      <c r="A192" s="91">
        <v>891.46</v>
      </c>
      <c r="B192" s="91">
        <v>-3212.9999999999964</v>
      </c>
      <c r="C192" s="91">
        <v>82719</v>
      </c>
      <c r="D192" s="91">
        <v>79506</v>
      </c>
      <c r="E192" s="91">
        <v>-3212.9999999999964</v>
      </c>
      <c r="F192" s="91">
        <v>79506</v>
      </c>
    </row>
    <row r="193" spans="1:6" x14ac:dyDescent="0.3">
      <c r="A193" s="91">
        <v>896.25</v>
      </c>
      <c r="B193" s="91">
        <v>-3213</v>
      </c>
      <c r="C193" s="91">
        <v>83437.5</v>
      </c>
      <c r="D193" s="91">
        <v>80224.5</v>
      </c>
      <c r="E193" s="91">
        <v>-3213</v>
      </c>
      <c r="F193" s="91">
        <v>80224.5</v>
      </c>
    </row>
    <row r="194" spans="1:6" x14ac:dyDescent="0.3">
      <c r="A194" s="91">
        <v>901.05</v>
      </c>
      <c r="B194" s="91">
        <v>-3212.9999999999973</v>
      </c>
      <c r="C194" s="91">
        <v>84157.5</v>
      </c>
      <c r="D194" s="91">
        <v>80944.5</v>
      </c>
      <c r="E194" s="91">
        <v>-3212.9999999999973</v>
      </c>
      <c r="F194" s="91">
        <v>80944.5</v>
      </c>
    </row>
    <row r="195" spans="1:6" x14ac:dyDescent="0.3">
      <c r="A195" s="91">
        <v>905.84</v>
      </c>
      <c r="B195" s="91">
        <v>-3212.9999999999968</v>
      </c>
      <c r="C195" s="91">
        <v>84876</v>
      </c>
      <c r="D195" s="91">
        <v>81663</v>
      </c>
      <c r="E195" s="91">
        <v>-3212.9999999999968</v>
      </c>
      <c r="F195" s="91">
        <v>81663</v>
      </c>
    </row>
    <row r="196" spans="1:6" x14ac:dyDescent="0.3">
      <c r="A196" s="91">
        <v>910.63</v>
      </c>
      <c r="B196" s="91">
        <v>-3213.0000000000005</v>
      </c>
      <c r="C196" s="91">
        <v>85594.5</v>
      </c>
      <c r="D196" s="91">
        <v>82381.5</v>
      </c>
      <c r="E196" s="91">
        <v>-3213.0000000000005</v>
      </c>
      <c r="F196" s="91">
        <v>82381.5</v>
      </c>
    </row>
    <row r="197" spans="1:6" x14ac:dyDescent="0.3">
      <c r="A197" s="91">
        <v>915.42</v>
      </c>
      <c r="B197" s="91">
        <v>-3212.9999999999968</v>
      </c>
      <c r="C197" s="91">
        <v>86313</v>
      </c>
      <c r="D197" s="91">
        <v>83100</v>
      </c>
      <c r="E197" s="91">
        <v>-3212.9999999999968</v>
      </c>
      <c r="F197" s="91">
        <v>83100</v>
      </c>
    </row>
    <row r="198" spans="1:6" x14ac:dyDescent="0.3">
      <c r="A198" s="91">
        <v>920.22</v>
      </c>
      <c r="B198" s="91">
        <v>-3212.9999999999973</v>
      </c>
      <c r="C198" s="91">
        <v>87033</v>
      </c>
      <c r="D198" s="91">
        <v>83820</v>
      </c>
      <c r="E198" s="91">
        <v>-3212.9999999999973</v>
      </c>
      <c r="F198" s="91">
        <v>83820</v>
      </c>
    </row>
    <row r="199" spans="1:6" x14ac:dyDescent="0.3">
      <c r="A199" s="91">
        <v>925.01</v>
      </c>
      <c r="B199" s="91">
        <v>-3213.0000000000009</v>
      </c>
      <c r="C199" s="91">
        <v>87751.5</v>
      </c>
      <c r="D199" s="91">
        <v>84538.5</v>
      </c>
      <c r="E199" s="91">
        <v>-3213.0000000000009</v>
      </c>
      <c r="F199" s="91">
        <v>84538.5</v>
      </c>
    </row>
    <row r="200" spans="1:6" x14ac:dyDescent="0.3">
      <c r="A200" s="91">
        <v>929.8</v>
      </c>
      <c r="B200" s="91">
        <v>-3212.9999999999973</v>
      </c>
      <c r="C200" s="91">
        <v>88470</v>
      </c>
      <c r="D200" s="91">
        <v>85257</v>
      </c>
      <c r="E200" s="91">
        <v>-3212.9999999999973</v>
      </c>
      <c r="F200" s="91">
        <v>85257</v>
      </c>
    </row>
    <row r="201" spans="1:6" x14ac:dyDescent="0.3">
      <c r="A201" s="91">
        <v>934.6</v>
      </c>
      <c r="B201" s="91">
        <v>-3212.9999999999977</v>
      </c>
      <c r="C201" s="91">
        <v>89190</v>
      </c>
      <c r="D201" s="91">
        <v>85977</v>
      </c>
      <c r="E201" s="91">
        <v>-3212.9999999999977</v>
      </c>
      <c r="F201" s="91">
        <v>85977</v>
      </c>
    </row>
    <row r="202" spans="1:6" x14ac:dyDescent="0.3">
      <c r="A202" s="91">
        <v>939.39</v>
      </c>
      <c r="B202" s="91">
        <v>-3213.0000000000014</v>
      </c>
      <c r="C202" s="91">
        <v>89908.5</v>
      </c>
      <c r="D202" s="91">
        <v>86695.5</v>
      </c>
      <c r="E202" s="91">
        <v>-3213.0000000000014</v>
      </c>
      <c r="F202" s="91">
        <v>86695.5</v>
      </c>
    </row>
    <row r="203" spans="1:6" x14ac:dyDescent="0.3">
      <c r="A203" s="91">
        <v>944.18</v>
      </c>
      <c r="B203" s="91">
        <v>-3212.9999999999977</v>
      </c>
      <c r="C203" s="91">
        <v>90626.999999999985</v>
      </c>
      <c r="D203" s="91">
        <v>87413.999999999985</v>
      </c>
      <c r="E203" s="91">
        <v>-3212.9999999999977</v>
      </c>
      <c r="F203" s="91">
        <v>87413.999999999985</v>
      </c>
    </row>
    <row r="204" spans="1:6" x14ac:dyDescent="0.3">
      <c r="A204" s="91">
        <v>948.97</v>
      </c>
      <c r="B204" s="91">
        <v>-3212.9999999999973</v>
      </c>
      <c r="C204" s="91">
        <v>91345.5</v>
      </c>
      <c r="D204" s="91">
        <v>88132.5</v>
      </c>
      <c r="E204" s="91">
        <v>-3212.9999999999973</v>
      </c>
      <c r="F204" s="91">
        <v>88132.5</v>
      </c>
    </row>
    <row r="205" spans="1:6" x14ac:dyDescent="0.3">
      <c r="A205" s="91">
        <v>953.77</v>
      </c>
      <c r="B205" s="91">
        <v>-3213.0000000000018</v>
      </c>
      <c r="C205" s="91">
        <v>92065.5</v>
      </c>
      <c r="D205" s="91">
        <v>88852.5</v>
      </c>
      <c r="E205" s="91">
        <v>-3213.0000000000018</v>
      </c>
      <c r="F205" s="91">
        <v>88852.5</v>
      </c>
    </row>
    <row r="206" spans="1:6" x14ac:dyDescent="0.3">
      <c r="A206" s="91">
        <v>958.56</v>
      </c>
      <c r="B206" s="91">
        <v>-3212.9999999999982</v>
      </c>
      <c r="C206" s="91">
        <v>92783.999999999985</v>
      </c>
      <c r="D206" s="91">
        <v>89570.999999999985</v>
      </c>
      <c r="E206" s="91">
        <v>-3212.9999999999982</v>
      </c>
      <c r="F206" s="91">
        <v>89570.999999999985</v>
      </c>
    </row>
    <row r="207" spans="1:6" x14ac:dyDescent="0.3">
      <c r="A207" s="91">
        <v>963.35</v>
      </c>
      <c r="B207" s="91">
        <v>-3212.9999999999977</v>
      </c>
      <c r="C207" s="91">
        <v>93502.5</v>
      </c>
      <c r="D207" s="91">
        <v>90289.5</v>
      </c>
      <c r="E207" s="91">
        <v>-3212.9999999999977</v>
      </c>
      <c r="F207" s="91">
        <v>90289.5</v>
      </c>
    </row>
    <row r="208" spans="1:6" x14ac:dyDescent="0.3">
      <c r="A208" s="91">
        <v>968.15</v>
      </c>
      <c r="B208" s="91">
        <v>-3213.0000000000023</v>
      </c>
      <c r="C208" s="91">
        <v>94222.5</v>
      </c>
      <c r="D208" s="91">
        <v>91009.5</v>
      </c>
      <c r="E208" s="91">
        <v>-3213.0000000000023</v>
      </c>
      <c r="F208" s="91">
        <v>91009.5</v>
      </c>
    </row>
    <row r="209" spans="1:6" x14ac:dyDescent="0.3">
      <c r="A209" s="91">
        <v>972.94</v>
      </c>
      <c r="B209" s="91">
        <v>-3213.0000000000018</v>
      </c>
      <c r="C209" s="91">
        <v>94941.000000000015</v>
      </c>
      <c r="D209" s="91">
        <v>91728.000000000015</v>
      </c>
      <c r="E209" s="91">
        <v>-3213.0000000000018</v>
      </c>
      <c r="F209" s="91">
        <v>91728.000000000015</v>
      </c>
    </row>
    <row r="210" spans="1:6" x14ac:dyDescent="0.3">
      <c r="A210" s="91">
        <v>977.73</v>
      </c>
      <c r="B210" s="91">
        <v>-3212.9999999999982</v>
      </c>
      <c r="C210" s="91">
        <v>95659.5</v>
      </c>
      <c r="D210" s="91">
        <v>92446.5</v>
      </c>
      <c r="E210" s="91">
        <v>-3212.9999999999982</v>
      </c>
      <c r="F210" s="91">
        <v>92446.5</v>
      </c>
    </row>
    <row r="211" spans="1:6" x14ac:dyDescent="0.3">
      <c r="A211" s="91">
        <v>982.52</v>
      </c>
      <c r="B211" s="91">
        <v>-3213.0000000000018</v>
      </c>
      <c r="C211" s="91">
        <v>96378</v>
      </c>
      <c r="D211" s="91">
        <v>93165</v>
      </c>
      <c r="E211" s="91">
        <v>-3213.0000000000018</v>
      </c>
      <c r="F211" s="91">
        <v>93165</v>
      </c>
    </row>
    <row r="212" spans="1:6" x14ac:dyDescent="0.3">
      <c r="A212" s="91">
        <v>987.32</v>
      </c>
      <c r="B212" s="91">
        <v>-3213.0000000000023</v>
      </c>
      <c r="C212" s="91">
        <v>97098.000000000015</v>
      </c>
      <c r="D212" s="91">
        <v>93885.000000000015</v>
      </c>
      <c r="E212" s="91">
        <v>-3213.0000000000023</v>
      </c>
      <c r="F212" s="91">
        <v>93885.000000000015</v>
      </c>
    </row>
    <row r="213" spans="1:6" x14ac:dyDescent="0.3">
      <c r="A213" s="91">
        <v>992.11</v>
      </c>
      <c r="B213" s="91">
        <v>-3212.9999999999986</v>
      </c>
      <c r="C213" s="91">
        <v>97816.5</v>
      </c>
      <c r="D213" s="91">
        <v>94603.5</v>
      </c>
      <c r="E213" s="91">
        <v>-3212.9999999999986</v>
      </c>
      <c r="F213" s="91">
        <v>94603.5</v>
      </c>
    </row>
    <row r="214" spans="1:6" x14ac:dyDescent="0.3">
      <c r="A214" s="91">
        <v>996.9</v>
      </c>
      <c r="B214" s="91">
        <v>-3213.0000000000023</v>
      </c>
      <c r="C214" s="91">
        <v>98535</v>
      </c>
      <c r="D214" s="91">
        <v>95322</v>
      </c>
      <c r="E214" s="91">
        <v>-3213.0000000000023</v>
      </c>
      <c r="F214" s="91">
        <v>95322</v>
      </c>
    </row>
    <row r="215" spans="1:6" x14ac:dyDescent="0.3">
      <c r="A215" s="91">
        <v>1001.7</v>
      </c>
      <c r="B215" s="91">
        <v>-3213.0000000000027</v>
      </c>
      <c r="C215" s="91">
        <v>99255</v>
      </c>
      <c r="D215" s="91">
        <v>96042</v>
      </c>
      <c r="E215" s="91">
        <v>-3213.0000000000027</v>
      </c>
      <c r="F215" s="91">
        <v>96042</v>
      </c>
    </row>
    <row r="216" spans="1:6" x14ac:dyDescent="0.3">
      <c r="A216" s="91">
        <v>1006.49</v>
      </c>
      <c r="B216" s="91">
        <v>-3212.9999999999991</v>
      </c>
      <c r="C216" s="91">
        <v>99973.5</v>
      </c>
      <c r="D216" s="91">
        <v>96760.5</v>
      </c>
      <c r="E216" s="91">
        <v>-3212.9999999999991</v>
      </c>
      <c r="F216" s="91">
        <v>96760.5</v>
      </c>
    </row>
    <row r="217" spans="1:6" x14ac:dyDescent="0.3">
      <c r="A217" s="91">
        <v>1011.28</v>
      </c>
      <c r="B217" s="91">
        <v>-3213.0000000000027</v>
      </c>
      <c r="C217" s="91">
        <v>100692</v>
      </c>
      <c r="D217" s="91">
        <v>97479</v>
      </c>
      <c r="E217" s="91">
        <v>-3213.0000000000027</v>
      </c>
      <c r="F217" s="91">
        <v>97479</v>
      </c>
    </row>
    <row r="218" spans="1:6" x14ac:dyDescent="0.3">
      <c r="A218" s="91">
        <v>1016.07</v>
      </c>
      <c r="B218" s="91">
        <v>-3213.0000000000023</v>
      </c>
      <c r="C218" s="91">
        <v>101410.50000000001</v>
      </c>
      <c r="D218" s="91">
        <v>98197.500000000015</v>
      </c>
      <c r="E218" s="91">
        <v>-3213.0000000000023</v>
      </c>
      <c r="F218" s="91">
        <v>98197.500000000015</v>
      </c>
    </row>
    <row r="219" spans="1:6" x14ac:dyDescent="0.3">
      <c r="A219" s="91">
        <v>1020.87</v>
      </c>
      <c r="B219" s="91">
        <v>-3212.9999999999995</v>
      </c>
      <c r="C219" s="91">
        <v>102130.5</v>
      </c>
      <c r="D219" s="91">
        <v>98917.5</v>
      </c>
      <c r="E219" s="91">
        <v>-3212.9999999999995</v>
      </c>
      <c r="F219" s="91">
        <v>98917.5</v>
      </c>
    </row>
    <row r="220" spans="1:6" x14ac:dyDescent="0.3">
      <c r="A220" s="91">
        <v>1025.6600000000001</v>
      </c>
      <c r="B220" s="91">
        <v>-3212.9999999999991</v>
      </c>
      <c r="C220" s="91">
        <v>102849.00000000001</v>
      </c>
      <c r="D220" s="91">
        <v>99636.000000000015</v>
      </c>
      <c r="E220" s="91">
        <v>-3212.9999999999991</v>
      </c>
      <c r="F220" s="91">
        <v>99636.000000000015</v>
      </c>
    </row>
    <row r="221" spans="1:6" x14ac:dyDescent="0.3">
      <c r="A221" s="91">
        <v>1030.45</v>
      </c>
      <c r="B221" s="91">
        <v>-3213.0000000000027</v>
      </c>
      <c r="C221" s="91">
        <v>103567.5</v>
      </c>
      <c r="D221" s="91">
        <v>100354.5</v>
      </c>
      <c r="E221" s="91">
        <v>-3213.0000000000027</v>
      </c>
      <c r="F221" s="91">
        <v>100354.5</v>
      </c>
    </row>
    <row r="222" spans="1:6" x14ac:dyDescent="0.3">
      <c r="A222" s="91">
        <v>1035.24</v>
      </c>
      <c r="B222" s="91">
        <v>-3212.9999999999991</v>
      </c>
      <c r="C222" s="91">
        <v>104286</v>
      </c>
      <c r="D222" s="91">
        <v>101073</v>
      </c>
      <c r="E222" s="91">
        <v>-3212.9999999999991</v>
      </c>
      <c r="F222" s="91">
        <v>101073</v>
      </c>
    </row>
    <row r="223" spans="1:6" x14ac:dyDescent="0.3">
      <c r="A223" s="91">
        <v>1040.04</v>
      </c>
      <c r="B223" s="91">
        <v>-3213.0000000000036</v>
      </c>
      <c r="C223" s="91">
        <v>105006</v>
      </c>
      <c r="D223" s="91">
        <v>101793</v>
      </c>
      <c r="E223" s="91">
        <v>-3213.0000000000036</v>
      </c>
      <c r="F223" s="91">
        <v>101793</v>
      </c>
    </row>
    <row r="224" spans="1:6" x14ac:dyDescent="0.3">
      <c r="A224" s="91">
        <v>1044.83</v>
      </c>
      <c r="B224" s="91">
        <v>-3213</v>
      </c>
      <c r="C224" s="91">
        <v>105724.49999999999</v>
      </c>
      <c r="D224" s="91">
        <v>102511.49999999999</v>
      </c>
      <c r="E224" s="91">
        <v>-3213</v>
      </c>
      <c r="F224" s="91">
        <v>102511.49999999999</v>
      </c>
    </row>
    <row r="225" spans="1:6" x14ac:dyDescent="0.3">
      <c r="A225" s="91">
        <v>1049.6199999999999</v>
      </c>
      <c r="B225" s="91">
        <v>-3212.9999999999964</v>
      </c>
      <c r="C225" s="91">
        <v>106442.99999999999</v>
      </c>
      <c r="D225" s="91">
        <v>103229.99999999999</v>
      </c>
      <c r="E225" s="91">
        <v>-3212.9999999999964</v>
      </c>
      <c r="F225" s="91">
        <v>103229.99999999999</v>
      </c>
    </row>
    <row r="226" spans="1:6" x14ac:dyDescent="0.3">
      <c r="A226" s="91">
        <v>1054.42</v>
      </c>
      <c r="B226" s="91">
        <v>-3213</v>
      </c>
      <c r="C226" s="91">
        <v>107163.00000000001</v>
      </c>
      <c r="D226" s="91">
        <v>103950.00000000001</v>
      </c>
      <c r="E226" s="91">
        <v>-3213</v>
      </c>
      <c r="F226" s="91">
        <v>103950.00000000001</v>
      </c>
    </row>
    <row r="227" spans="1:6" x14ac:dyDescent="0.3">
      <c r="A227" s="91">
        <v>1059.21</v>
      </c>
      <c r="B227" s="91">
        <v>-3212.9999999999964</v>
      </c>
      <c r="C227" s="91">
        <v>107881.5</v>
      </c>
      <c r="D227" s="91">
        <v>104668.5</v>
      </c>
      <c r="E227" s="91">
        <v>-3212.9999999999964</v>
      </c>
      <c r="F227" s="91">
        <v>104668.5</v>
      </c>
    </row>
    <row r="228" spans="1:6" x14ac:dyDescent="0.3">
      <c r="A228" s="91">
        <v>1064</v>
      </c>
      <c r="B228" s="91">
        <v>-3213</v>
      </c>
      <c r="C228" s="91">
        <v>108600</v>
      </c>
      <c r="D228" s="91">
        <v>105387</v>
      </c>
      <c r="E228" s="91">
        <v>-3213</v>
      </c>
      <c r="F228" s="91">
        <v>105387</v>
      </c>
    </row>
    <row r="229" spans="1:6" x14ac:dyDescent="0.3">
      <c r="A229" s="91">
        <v>1068.79</v>
      </c>
      <c r="B229" s="91">
        <v>-3213.0000000000036</v>
      </c>
      <c r="C229" s="91">
        <v>109318.5</v>
      </c>
      <c r="D229" s="91">
        <v>106105.5</v>
      </c>
      <c r="E229" s="91">
        <v>-3213.0000000000036</v>
      </c>
      <c r="F229" s="91">
        <v>106105.5</v>
      </c>
    </row>
    <row r="230" spans="1:6" x14ac:dyDescent="0.3">
      <c r="A230" s="91">
        <v>1073.5899999999999</v>
      </c>
      <c r="B230" s="91">
        <v>-3213.0000000000009</v>
      </c>
      <c r="C230" s="91">
        <v>110038.49999999999</v>
      </c>
      <c r="D230" s="91">
        <v>106825.49999999999</v>
      </c>
      <c r="E230" s="91">
        <v>-3213.0000000000009</v>
      </c>
      <c r="F230" s="91">
        <v>106825.49999999999</v>
      </c>
    </row>
    <row r="231" spans="1:6" x14ac:dyDescent="0.3">
      <c r="A231" s="91">
        <v>1078.3800000000001</v>
      </c>
      <c r="B231" s="91">
        <v>-3213.0000000000036</v>
      </c>
      <c r="C231" s="91">
        <v>110757.00000000001</v>
      </c>
      <c r="D231" s="91">
        <v>107544.00000000001</v>
      </c>
      <c r="E231" s="91">
        <v>-3213.0000000000036</v>
      </c>
      <c r="F231" s="91">
        <v>107544.00000000001</v>
      </c>
    </row>
    <row r="232" spans="1:6" x14ac:dyDescent="0.3">
      <c r="A232" s="91">
        <v>1083.17</v>
      </c>
      <c r="B232" s="91">
        <v>-3213</v>
      </c>
      <c r="C232" s="91">
        <v>111475.50000000001</v>
      </c>
      <c r="D232" s="91">
        <v>108262.50000000001</v>
      </c>
      <c r="E232" s="91">
        <v>-3213</v>
      </c>
      <c r="F232" s="91">
        <v>108262.50000000001</v>
      </c>
    </row>
    <row r="233" spans="1:6" x14ac:dyDescent="0.3">
      <c r="A233" s="91">
        <v>1087.97</v>
      </c>
      <c r="B233" s="91">
        <v>-3212.9999999999973</v>
      </c>
      <c r="C233" s="91">
        <v>112195.5</v>
      </c>
      <c r="D233" s="91">
        <v>108982.5</v>
      </c>
      <c r="E233" s="91">
        <v>-3212.9999999999973</v>
      </c>
      <c r="F233" s="91">
        <v>108982.5</v>
      </c>
    </row>
    <row r="234" spans="1:6" x14ac:dyDescent="0.3">
      <c r="A234" s="91">
        <v>1092.76</v>
      </c>
      <c r="B234" s="91">
        <v>-3213.0000000000009</v>
      </c>
      <c r="C234" s="91">
        <v>112914</v>
      </c>
      <c r="D234" s="91">
        <v>109701</v>
      </c>
      <c r="E234" s="91">
        <v>-3213.0000000000009</v>
      </c>
      <c r="F234" s="91">
        <v>109701</v>
      </c>
    </row>
    <row r="235" spans="1:6" x14ac:dyDescent="0.3">
      <c r="A235" s="91">
        <v>1097.55</v>
      </c>
      <c r="B235" s="91">
        <v>-3212.9999999999973</v>
      </c>
      <c r="C235" s="91">
        <v>113632.5</v>
      </c>
      <c r="D235" s="91">
        <v>110419.5</v>
      </c>
      <c r="E235" s="91">
        <v>-3212.9999999999973</v>
      </c>
      <c r="F235" s="91">
        <v>110419.5</v>
      </c>
    </row>
    <row r="236" spans="1:6" x14ac:dyDescent="0.3">
      <c r="A236" s="91">
        <v>1102.3399999999999</v>
      </c>
      <c r="B236" s="91">
        <v>-3213.0000000000009</v>
      </c>
      <c r="C236" s="91">
        <v>114350.99999999999</v>
      </c>
      <c r="D236" s="91">
        <v>111137.99999999999</v>
      </c>
      <c r="E236" s="91">
        <v>-3213.0000000000009</v>
      </c>
      <c r="F236" s="91">
        <v>111137.99999999999</v>
      </c>
    </row>
    <row r="237" spans="1:6" x14ac:dyDescent="0.3">
      <c r="A237" s="91">
        <v>1107.1400000000001</v>
      </c>
      <c r="B237" s="91">
        <v>-3212.9999999999973</v>
      </c>
      <c r="C237" s="91">
        <v>115071.00000000001</v>
      </c>
      <c r="D237" s="91">
        <v>111858.00000000001</v>
      </c>
      <c r="E237" s="91">
        <v>-3212.9999999999973</v>
      </c>
      <c r="F237" s="91">
        <v>111858.00000000001</v>
      </c>
    </row>
    <row r="238" spans="1:6" x14ac:dyDescent="0.3">
      <c r="A238" s="91">
        <v>1111.93</v>
      </c>
      <c r="B238" s="91">
        <v>-3213.0000000000009</v>
      </c>
      <c r="C238" s="91">
        <v>115789.50000000001</v>
      </c>
      <c r="D238" s="91">
        <v>112576.50000000001</v>
      </c>
      <c r="E238" s="91">
        <v>-3213.0000000000009</v>
      </c>
      <c r="F238" s="91">
        <v>112576.50000000001</v>
      </c>
    </row>
    <row r="239" spans="1:6" x14ac:dyDescent="0.3">
      <c r="A239" s="91">
        <v>1116.72</v>
      </c>
      <c r="B239" s="91">
        <v>-3212.9999999999973</v>
      </c>
      <c r="C239" s="91">
        <v>116508</v>
      </c>
      <c r="D239" s="91">
        <v>113295</v>
      </c>
      <c r="E239" s="91">
        <v>-3212.9999999999973</v>
      </c>
      <c r="F239" s="91">
        <v>113295</v>
      </c>
    </row>
    <row r="240" spans="1:6" x14ac:dyDescent="0.3">
      <c r="A240" s="91">
        <v>1121.52</v>
      </c>
      <c r="B240" s="91">
        <v>-3213.0000000000018</v>
      </c>
      <c r="C240" s="91">
        <v>117228</v>
      </c>
      <c r="D240" s="91">
        <v>114015</v>
      </c>
      <c r="E240" s="91">
        <v>-3213.0000000000018</v>
      </c>
      <c r="F240" s="91">
        <v>114015</v>
      </c>
    </row>
    <row r="241" spans="1:6" x14ac:dyDescent="0.3">
      <c r="A241" s="91">
        <v>1126.31</v>
      </c>
      <c r="B241" s="91">
        <v>-3212.9999999999982</v>
      </c>
      <c r="C241" s="91">
        <v>117946.49999999999</v>
      </c>
      <c r="D241" s="91">
        <v>114733.49999999999</v>
      </c>
      <c r="E241" s="91">
        <v>-3212.9999999999982</v>
      </c>
      <c r="F241" s="91">
        <v>114733.49999999999</v>
      </c>
    </row>
    <row r="242" spans="1:6" x14ac:dyDescent="0.3">
      <c r="A242" s="91">
        <v>1131.0999999999999</v>
      </c>
      <c r="B242" s="91">
        <v>-3213.0000000000018</v>
      </c>
      <c r="C242" s="91">
        <v>118664.99999999999</v>
      </c>
      <c r="D242" s="91">
        <v>115451.99999999999</v>
      </c>
      <c r="E242" s="91">
        <v>-3213.0000000000018</v>
      </c>
      <c r="F242" s="91">
        <v>115451.99999999999</v>
      </c>
    </row>
    <row r="243" spans="1:6" x14ac:dyDescent="0.3">
      <c r="A243" s="91">
        <v>1135.8900000000001</v>
      </c>
      <c r="B243" s="91">
        <v>-3212.9999999999973</v>
      </c>
      <c r="C243" s="91">
        <v>119383.50000000001</v>
      </c>
      <c r="D243" s="91">
        <v>116170.50000000001</v>
      </c>
      <c r="E243" s="91">
        <v>-3212.9999999999973</v>
      </c>
      <c r="F243" s="91">
        <v>116170.50000000001</v>
      </c>
    </row>
    <row r="244" spans="1:6" x14ac:dyDescent="0.3">
      <c r="A244" s="91">
        <v>1140.69</v>
      </c>
      <c r="B244" s="91">
        <v>-3213.0000000000018</v>
      </c>
      <c r="C244" s="91">
        <v>120103.50000000001</v>
      </c>
      <c r="D244" s="91">
        <v>116890.50000000001</v>
      </c>
      <c r="E244" s="91">
        <v>-3213.0000000000018</v>
      </c>
      <c r="F244" s="91">
        <v>116890.50000000001</v>
      </c>
    </row>
    <row r="245" spans="1:6" x14ac:dyDescent="0.3">
      <c r="A245" s="91">
        <v>1145.48</v>
      </c>
      <c r="B245" s="91">
        <v>-3212.9999999999982</v>
      </c>
      <c r="C245" s="91">
        <v>120822</v>
      </c>
      <c r="D245" s="91">
        <v>117609</v>
      </c>
      <c r="E245" s="91">
        <v>-3212.9999999999982</v>
      </c>
      <c r="F245" s="91">
        <v>117609</v>
      </c>
    </row>
    <row r="246" spans="1:6" x14ac:dyDescent="0.3">
      <c r="A246" s="91">
        <v>1150.27</v>
      </c>
      <c r="B246" s="91">
        <v>-3213.0000000000018</v>
      </c>
      <c r="C246" s="91">
        <v>121540.5</v>
      </c>
      <c r="D246" s="91">
        <v>118327.5</v>
      </c>
      <c r="E246" s="91">
        <v>-3213.0000000000018</v>
      </c>
      <c r="F246" s="91">
        <v>118327.5</v>
      </c>
    </row>
    <row r="247" spans="1:6" x14ac:dyDescent="0.3">
      <c r="A247" s="91">
        <v>1155.06</v>
      </c>
      <c r="B247" s="91">
        <v>-3212.9999999999982</v>
      </c>
      <c r="C247" s="91">
        <v>122258.99999999999</v>
      </c>
      <c r="D247" s="91">
        <v>119045.99999999999</v>
      </c>
      <c r="E247" s="91">
        <v>-3212.9999999999982</v>
      </c>
      <c r="F247" s="91">
        <v>119045.99999999999</v>
      </c>
    </row>
    <row r="248" spans="1:6" x14ac:dyDescent="0.3">
      <c r="A248" s="91">
        <v>1159.8599999999999</v>
      </c>
      <c r="B248" s="91">
        <v>-3213.0000000000027</v>
      </c>
      <c r="C248" s="91">
        <v>122978.99999999999</v>
      </c>
      <c r="D248" s="91">
        <v>119765.99999999999</v>
      </c>
      <c r="E248" s="91">
        <v>-3213.0000000000027</v>
      </c>
      <c r="F248" s="91">
        <v>119765.99999999999</v>
      </c>
    </row>
    <row r="249" spans="1:6" x14ac:dyDescent="0.3">
      <c r="A249" s="91">
        <v>1164.6500000000001</v>
      </c>
      <c r="B249" s="91">
        <v>-3212.9999999999982</v>
      </c>
      <c r="C249" s="91">
        <v>123697.50000000001</v>
      </c>
      <c r="D249" s="91">
        <v>120484.50000000001</v>
      </c>
      <c r="E249" s="91">
        <v>-3212.9999999999982</v>
      </c>
      <c r="F249" s="91">
        <v>120484.50000000001</v>
      </c>
    </row>
    <row r="250" spans="1:6" x14ac:dyDescent="0.3">
      <c r="A250" s="91">
        <v>1169.44</v>
      </c>
      <c r="B250" s="91">
        <v>-3213.0000000000018</v>
      </c>
      <c r="C250" s="91">
        <v>124416.00000000001</v>
      </c>
      <c r="D250" s="91">
        <v>121203.00000000001</v>
      </c>
      <c r="E250" s="91">
        <v>-3213.0000000000018</v>
      </c>
      <c r="F250" s="91">
        <v>121203.00000000001</v>
      </c>
    </row>
    <row r="251" spans="1:6" x14ac:dyDescent="0.3">
      <c r="A251" s="91">
        <v>1174.24</v>
      </c>
      <c r="B251" s="91">
        <v>-3212.9999999999991</v>
      </c>
      <c r="C251" s="91">
        <v>125136</v>
      </c>
      <c r="D251" s="91">
        <v>121923</v>
      </c>
      <c r="E251" s="91">
        <v>-3212.9999999999991</v>
      </c>
      <c r="F251" s="91">
        <v>121923</v>
      </c>
    </row>
    <row r="252" spans="1:6" x14ac:dyDescent="0.3">
      <c r="A252" s="91">
        <v>1179.03</v>
      </c>
      <c r="B252" s="91">
        <v>-3213.0000000000027</v>
      </c>
      <c r="C252" s="91">
        <v>125854.5</v>
      </c>
      <c r="D252" s="91">
        <v>122641.5</v>
      </c>
      <c r="E252" s="91">
        <v>-3213.0000000000027</v>
      </c>
      <c r="F252" s="91">
        <v>122641.5</v>
      </c>
    </row>
    <row r="253" spans="1:6" x14ac:dyDescent="0.3">
      <c r="A253" s="91">
        <v>1183.82</v>
      </c>
      <c r="B253" s="91">
        <v>-3213.0000000000064</v>
      </c>
      <c r="C253" s="91">
        <v>126572.99999999999</v>
      </c>
      <c r="D253" s="91">
        <v>123359.99999999999</v>
      </c>
      <c r="E253" s="91">
        <v>-3213.0000000000064</v>
      </c>
      <c r="F253" s="91">
        <v>123359.99999999999</v>
      </c>
    </row>
    <row r="254" spans="1:6" x14ac:dyDescent="0.3">
      <c r="A254" s="91">
        <v>1188.6099999999999</v>
      </c>
      <c r="B254" s="91">
        <v>-3212.9999999999955</v>
      </c>
      <c r="C254" s="91">
        <v>127291.49999999999</v>
      </c>
      <c r="D254" s="91">
        <v>124078.49999999999</v>
      </c>
      <c r="E254" s="91">
        <v>-3212.9999999999955</v>
      </c>
      <c r="F254" s="91">
        <v>124078.49999999999</v>
      </c>
    </row>
    <row r="255" spans="1:6" x14ac:dyDescent="0.3">
      <c r="A255" s="91">
        <v>1193.4100000000001</v>
      </c>
      <c r="B255" s="91">
        <v>-3213.0000000000064</v>
      </c>
      <c r="C255" s="91">
        <v>128011.50000000001</v>
      </c>
      <c r="D255" s="91">
        <v>124798.50000000001</v>
      </c>
      <c r="E255" s="91">
        <v>-3213.0000000000064</v>
      </c>
      <c r="F255" s="91">
        <v>124798.50000000001</v>
      </c>
    </row>
    <row r="256" spans="1:6" x14ac:dyDescent="0.3">
      <c r="A256" s="91">
        <v>1198.2</v>
      </c>
      <c r="B256" s="91">
        <v>-3212.9999999999955</v>
      </c>
      <c r="C256" s="91">
        <v>128730</v>
      </c>
      <c r="D256" s="91">
        <v>125517</v>
      </c>
      <c r="E256" s="91">
        <v>-3212.9999999999955</v>
      </c>
      <c r="F256" s="91">
        <v>125517</v>
      </c>
    </row>
    <row r="257" spans="1:6" x14ac:dyDescent="0.3">
      <c r="A257" s="91">
        <v>1202.99</v>
      </c>
      <c r="B257" s="91">
        <v>-3212.9999999999991</v>
      </c>
      <c r="C257" s="91">
        <v>129448.5</v>
      </c>
      <c r="D257" s="91">
        <v>126235.5</v>
      </c>
      <c r="E257" s="91">
        <v>-3212.9999999999991</v>
      </c>
      <c r="F257" s="91">
        <v>126235.5</v>
      </c>
    </row>
    <row r="258" spans="1:6" x14ac:dyDescent="0.3">
      <c r="A258" s="91">
        <v>1207.79</v>
      </c>
      <c r="B258" s="91">
        <v>-3213.0000000000036</v>
      </c>
      <c r="C258" s="91">
        <v>130168.5</v>
      </c>
      <c r="D258" s="91">
        <v>126955.5</v>
      </c>
      <c r="E258" s="91">
        <v>-3213.0000000000036</v>
      </c>
      <c r="F258" s="91">
        <v>126955.5</v>
      </c>
    </row>
    <row r="259" spans="1:6" x14ac:dyDescent="0.3">
      <c r="A259" s="91">
        <v>1212.58</v>
      </c>
      <c r="B259" s="91">
        <v>-3213.0000000000073</v>
      </c>
      <c r="C259" s="91">
        <v>130886.99999999999</v>
      </c>
      <c r="D259" s="91">
        <v>127673.99999999997</v>
      </c>
      <c r="E259" s="91">
        <v>-3213.0000000000073</v>
      </c>
      <c r="F259" s="91">
        <v>127673.99999999997</v>
      </c>
    </row>
    <row r="260" spans="1:6" x14ac:dyDescent="0.3">
      <c r="A260" s="91">
        <v>1217.3699999999999</v>
      </c>
      <c r="B260" s="91">
        <v>-3212.9999999999964</v>
      </c>
      <c r="C260" s="91">
        <v>131605.49999999997</v>
      </c>
      <c r="D260" s="91">
        <v>128392.49999999997</v>
      </c>
      <c r="E260" s="91">
        <v>-3212.9999999999964</v>
      </c>
      <c r="F260" s="91">
        <v>128392.49999999997</v>
      </c>
    </row>
    <row r="261" spans="1:6" x14ac:dyDescent="0.3">
      <c r="A261" s="91">
        <v>1222.1600000000001</v>
      </c>
      <c r="B261" s="91">
        <v>-3213.0000000000064</v>
      </c>
      <c r="C261" s="91">
        <v>132324</v>
      </c>
      <c r="D261" s="91">
        <v>129111</v>
      </c>
      <c r="E261" s="91">
        <v>-3213.0000000000064</v>
      </c>
      <c r="F261" s="91">
        <v>129111</v>
      </c>
    </row>
    <row r="262" spans="1:6" x14ac:dyDescent="0.3">
      <c r="A262" s="91">
        <v>1226.96</v>
      </c>
      <c r="B262" s="91">
        <v>-3212.9999999999964</v>
      </c>
      <c r="C262" s="91">
        <v>133044</v>
      </c>
      <c r="D262" s="91">
        <v>129831</v>
      </c>
      <c r="E262" s="91">
        <v>-3212.9999999999964</v>
      </c>
      <c r="F262" s="91">
        <v>129831</v>
      </c>
    </row>
    <row r="263" spans="1:6" x14ac:dyDescent="0.3">
      <c r="A263" s="91">
        <v>1231.75</v>
      </c>
      <c r="B263" s="91">
        <v>-3213</v>
      </c>
      <c r="C263" s="91">
        <v>133762.5</v>
      </c>
      <c r="D263" s="91">
        <v>130549.5</v>
      </c>
      <c r="E263" s="91">
        <v>-3213</v>
      </c>
      <c r="F263" s="91">
        <v>130549.5</v>
      </c>
    </row>
    <row r="264" spans="1:6" x14ac:dyDescent="0.3">
      <c r="A264" s="91">
        <v>1236.54</v>
      </c>
      <c r="B264" s="91">
        <v>-3213.0000000000036</v>
      </c>
      <c r="C264" s="91">
        <v>134481</v>
      </c>
      <c r="D264" s="91">
        <v>131268</v>
      </c>
      <c r="E264" s="91">
        <v>-3213.0000000000036</v>
      </c>
      <c r="F264" s="91">
        <v>131268</v>
      </c>
    </row>
    <row r="265" spans="1:6" x14ac:dyDescent="0.3">
      <c r="A265" s="91">
        <v>1241.3399999999999</v>
      </c>
      <c r="B265" s="91">
        <v>-3212.9999999999936</v>
      </c>
      <c r="C265" s="91">
        <v>135201</v>
      </c>
      <c r="D265" s="91">
        <v>131988</v>
      </c>
      <c r="E265" s="91">
        <v>-3212.9999999999936</v>
      </c>
      <c r="F265" s="91">
        <v>131988</v>
      </c>
    </row>
    <row r="266" spans="1:6" x14ac:dyDescent="0.3">
      <c r="A266" s="91">
        <v>1246.1300000000001</v>
      </c>
      <c r="B266" s="91">
        <v>-3213.0000000000036</v>
      </c>
      <c r="C266" s="91">
        <v>135919.50000000003</v>
      </c>
      <c r="D266" s="91">
        <v>132706.50000000003</v>
      </c>
      <c r="E266" s="91">
        <v>-3213.0000000000036</v>
      </c>
      <c r="F266" s="91">
        <v>132706.50000000003</v>
      </c>
    </row>
    <row r="267" spans="1:6" x14ac:dyDescent="0.3">
      <c r="A267" s="91">
        <v>1250.92</v>
      </c>
      <c r="B267" s="91">
        <v>-3212.9999999999927</v>
      </c>
      <c r="C267" s="91">
        <v>136638</v>
      </c>
      <c r="D267" s="91">
        <v>133425</v>
      </c>
      <c r="E267" s="91">
        <v>-3212.9999999999927</v>
      </c>
      <c r="F267" s="91">
        <v>133425</v>
      </c>
    </row>
    <row r="268" spans="1:6" x14ac:dyDescent="0.3">
      <c r="A268" s="91">
        <v>1255.71</v>
      </c>
      <c r="B268" s="91">
        <v>-3212.9999999999964</v>
      </c>
      <c r="C268" s="91">
        <v>137356.5</v>
      </c>
      <c r="D268" s="91">
        <v>134143.5</v>
      </c>
      <c r="E268" s="91">
        <v>-3212.9999999999964</v>
      </c>
      <c r="F268" s="91">
        <v>134143.5</v>
      </c>
    </row>
    <row r="269" spans="1:6" x14ac:dyDescent="0.3">
      <c r="A269" s="91">
        <v>1260.51</v>
      </c>
      <c r="B269" s="91">
        <v>-3213.0000000000009</v>
      </c>
      <c r="C269" s="91">
        <v>138076.5</v>
      </c>
      <c r="D269" s="91">
        <v>134863.5</v>
      </c>
      <c r="E269" s="91">
        <v>-3213.0000000000009</v>
      </c>
      <c r="F269" s="91">
        <v>134863.5</v>
      </c>
    </row>
    <row r="270" spans="1:6" x14ac:dyDescent="0.3">
      <c r="A270" s="91">
        <v>1265.3</v>
      </c>
      <c r="B270" s="91">
        <v>-3213.0000000000045</v>
      </c>
      <c r="C270" s="91">
        <v>138795</v>
      </c>
      <c r="D270" s="91">
        <v>135582</v>
      </c>
      <c r="E270" s="91">
        <v>-3213.0000000000045</v>
      </c>
      <c r="F270" s="91">
        <v>135582</v>
      </c>
    </row>
    <row r="271" spans="1:6" x14ac:dyDescent="0.3">
      <c r="A271" s="91">
        <v>1270.0899999999999</v>
      </c>
      <c r="B271" s="91">
        <v>-3212.9999999999936</v>
      </c>
      <c r="C271" s="91">
        <v>139513.5</v>
      </c>
      <c r="D271" s="91">
        <v>136300.5</v>
      </c>
      <c r="E271" s="91">
        <v>-3212.9999999999936</v>
      </c>
      <c r="F271" s="91">
        <v>136300.5</v>
      </c>
    </row>
    <row r="272" spans="1:6" x14ac:dyDescent="0.3">
      <c r="A272" s="91">
        <v>1274.8800000000001</v>
      </c>
      <c r="B272" s="91">
        <v>-3213.0000000000036</v>
      </c>
      <c r="C272" s="91">
        <v>140232.00000000003</v>
      </c>
      <c r="D272" s="91">
        <v>137019.00000000003</v>
      </c>
      <c r="E272" s="91">
        <v>-3213.0000000000036</v>
      </c>
      <c r="F272" s="91">
        <v>137019.00000000003</v>
      </c>
    </row>
    <row r="273" spans="1:6" x14ac:dyDescent="0.3">
      <c r="A273" s="91">
        <v>1279.68</v>
      </c>
      <c r="B273" s="91">
        <v>-3212.9999999999936</v>
      </c>
      <c r="C273" s="91">
        <v>140952</v>
      </c>
      <c r="D273" s="91">
        <v>137739</v>
      </c>
      <c r="E273" s="91">
        <v>-3212.9999999999936</v>
      </c>
      <c r="F273" s="91">
        <v>137739</v>
      </c>
    </row>
    <row r="274" spans="1:6" x14ac:dyDescent="0.3">
      <c r="A274" s="91">
        <v>1284.47</v>
      </c>
      <c r="B274" s="91">
        <v>-3212.9999999999973</v>
      </c>
      <c r="C274" s="91">
        <v>141670.5</v>
      </c>
      <c r="D274" s="91">
        <v>138457.5</v>
      </c>
      <c r="E274" s="91">
        <v>-3212.9999999999973</v>
      </c>
      <c r="F274" s="91">
        <v>138457.5</v>
      </c>
    </row>
    <row r="275" spans="1:6" x14ac:dyDescent="0.3">
      <c r="A275" s="91">
        <v>1289.26</v>
      </c>
      <c r="B275" s="91">
        <v>-3213.0000000000009</v>
      </c>
      <c r="C275" s="91">
        <v>142389</v>
      </c>
      <c r="D275" s="91">
        <v>139176</v>
      </c>
      <c r="E275" s="91">
        <v>-3213.0000000000009</v>
      </c>
      <c r="F275" s="91">
        <v>139176</v>
      </c>
    </row>
    <row r="276" spans="1:6" x14ac:dyDescent="0.3">
      <c r="A276" s="91">
        <v>1294.06</v>
      </c>
      <c r="B276" s="91">
        <v>-3213.0000000000055</v>
      </c>
      <c r="C276" s="91">
        <v>143109</v>
      </c>
      <c r="D276" s="91">
        <v>139896</v>
      </c>
      <c r="E276" s="91">
        <v>-3213.0000000000055</v>
      </c>
      <c r="F276" s="91">
        <v>139896</v>
      </c>
    </row>
    <row r="277" spans="1:6" x14ac:dyDescent="0.3">
      <c r="A277" s="91">
        <v>1298.8499999999999</v>
      </c>
      <c r="B277" s="91">
        <v>-3212.9999999999945</v>
      </c>
      <c r="C277" s="91">
        <v>143827.5</v>
      </c>
      <c r="D277" s="91">
        <v>140614.5</v>
      </c>
      <c r="E277" s="91">
        <v>-3212.9999999999945</v>
      </c>
      <c r="F277" s="91">
        <v>140614.5</v>
      </c>
    </row>
    <row r="278" spans="1:6" x14ac:dyDescent="0.3">
      <c r="A278" s="91">
        <v>1303.6400000000001</v>
      </c>
      <c r="B278" s="91">
        <v>-3213.0000000000045</v>
      </c>
      <c r="C278" s="91">
        <v>144546.00000000003</v>
      </c>
      <c r="D278" s="91">
        <v>141333.00000000003</v>
      </c>
      <c r="E278" s="91">
        <v>-3213.0000000000045</v>
      </c>
      <c r="F278" s="91">
        <v>141333.00000000003</v>
      </c>
    </row>
    <row r="279" spans="1:6" x14ac:dyDescent="0.3">
      <c r="A279" s="91">
        <v>1308.43</v>
      </c>
      <c r="B279" s="91">
        <v>-3212.9999999999936</v>
      </c>
      <c r="C279" s="91">
        <v>145264.5</v>
      </c>
      <c r="D279" s="91">
        <v>142051.5</v>
      </c>
      <c r="E279" s="91">
        <v>-3212.9999999999936</v>
      </c>
      <c r="F279" s="91">
        <v>142051.5</v>
      </c>
    </row>
    <row r="280" spans="1:6" x14ac:dyDescent="0.3">
      <c r="A280" s="91">
        <v>1313.23</v>
      </c>
      <c r="B280" s="91">
        <v>-3212.9999999999982</v>
      </c>
      <c r="C280" s="91">
        <v>145984.5</v>
      </c>
      <c r="D280" s="91">
        <v>142771.5</v>
      </c>
      <c r="E280" s="91">
        <v>-3212.9999999999982</v>
      </c>
      <c r="F280" s="91">
        <v>142771.5</v>
      </c>
    </row>
    <row r="281" spans="1:6" x14ac:dyDescent="0.3">
      <c r="A281" s="91">
        <v>1318.02</v>
      </c>
      <c r="B281" s="91">
        <v>-3213.0000000000018</v>
      </c>
      <c r="C281" s="91">
        <v>146703</v>
      </c>
      <c r="D281" s="91">
        <v>143490</v>
      </c>
      <c r="E281" s="91">
        <v>-3213.0000000000018</v>
      </c>
      <c r="F281" s="91">
        <v>143490</v>
      </c>
    </row>
    <row r="282" spans="1:6" x14ac:dyDescent="0.3">
      <c r="A282" s="91">
        <v>1322.81</v>
      </c>
      <c r="B282" s="91">
        <v>-3213.0000000000055</v>
      </c>
      <c r="C282" s="91">
        <v>147421.5</v>
      </c>
      <c r="D282" s="91">
        <v>144208.5</v>
      </c>
      <c r="E282" s="91">
        <v>-3213.0000000000055</v>
      </c>
      <c r="F282" s="91">
        <v>144208.5</v>
      </c>
    </row>
    <row r="283" spans="1:6" x14ac:dyDescent="0.3">
      <c r="A283" s="91">
        <v>1327.61</v>
      </c>
      <c r="B283" s="91">
        <v>-3212.9999999999955</v>
      </c>
      <c r="C283" s="91">
        <v>148141.49999999997</v>
      </c>
      <c r="D283" s="91">
        <v>144928.49999999997</v>
      </c>
      <c r="E283" s="91">
        <v>-3212.9999999999955</v>
      </c>
      <c r="F283" s="91">
        <v>144928.49999999997</v>
      </c>
    </row>
    <row r="284" spans="1:6" x14ac:dyDescent="0.3">
      <c r="A284" s="91">
        <v>1332.4</v>
      </c>
      <c r="B284" s="91">
        <v>-3213.0000000000055</v>
      </c>
      <c r="C284" s="91">
        <v>148860</v>
      </c>
      <c r="D284" s="91">
        <v>145647</v>
      </c>
      <c r="E284" s="91">
        <v>-3213.0000000000055</v>
      </c>
      <c r="F284" s="91">
        <v>145647</v>
      </c>
    </row>
    <row r="285" spans="1:6" x14ac:dyDescent="0.3">
      <c r="A285" s="91">
        <v>1337.19</v>
      </c>
      <c r="B285" s="91">
        <v>-3212.9999999999945</v>
      </c>
      <c r="C285" s="91">
        <v>149578.5</v>
      </c>
      <c r="D285" s="91">
        <v>146365.5</v>
      </c>
      <c r="E285" s="91">
        <v>-3212.9999999999945</v>
      </c>
      <c r="F285" s="91">
        <v>146365.5</v>
      </c>
    </row>
    <row r="286" spans="1:6" x14ac:dyDescent="0.3">
      <c r="A286" s="91">
        <v>1341.98</v>
      </c>
      <c r="B286" s="91">
        <v>-3212.9999999999982</v>
      </c>
      <c r="C286" s="91">
        <v>150297</v>
      </c>
      <c r="D286" s="91">
        <v>147084</v>
      </c>
      <c r="E286" s="91">
        <v>-3212.9999999999982</v>
      </c>
      <c r="F286" s="91">
        <v>147084</v>
      </c>
    </row>
    <row r="287" spans="1:6" x14ac:dyDescent="0.3">
      <c r="A287" s="91">
        <v>1346.78</v>
      </c>
      <c r="B287" s="91">
        <v>-3213.0000000000027</v>
      </c>
      <c r="C287" s="91">
        <v>151017</v>
      </c>
      <c r="D287" s="91">
        <v>147804</v>
      </c>
      <c r="E287" s="91">
        <v>-3213.0000000000027</v>
      </c>
      <c r="F287" s="91">
        <v>147804</v>
      </c>
    </row>
    <row r="288" spans="1:6" x14ac:dyDescent="0.3">
      <c r="A288" s="91">
        <v>1351.57</v>
      </c>
      <c r="B288" s="91">
        <v>-3213.0000000000064</v>
      </c>
      <c r="C288" s="91">
        <v>151735.5</v>
      </c>
      <c r="D288" s="91">
        <v>148522.5</v>
      </c>
      <c r="E288" s="91">
        <v>-3213.0000000000064</v>
      </c>
      <c r="F288" s="91">
        <v>148522.5</v>
      </c>
    </row>
    <row r="289" spans="1:6" x14ac:dyDescent="0.3">
      <c r="A289" s="91">
        <v>1356.36</v>
      </c>
      <c r="B289" s="91">
        <v>-3212.9999999999955</v>
      </c>
      <c r="C289" s="91">
        <v>152453.99999999997</v>
      </c>
      <c r="D289" s="91">
        <v>149240.99999999997</v>
      </c>
      <c r="E289" s="91">
        <v>-3212.9999999999955</v>
      </c>
      <c r="F289" s="91">
        <v>149240.99999999997</v>
      </c>
    </row>
    <row r="290" spans="1:6" x14ac:dyDescent="0.3">
      <c r="A290" s="91">
        <v>1361.16</v>
      </c>
      <c r="B290" s="91">
        <v>-3213.0000000000064</v>
      </c>
      <c r="C290" s="91">
        <v>153174</v>
      </c>
      <c r="D290" s="91">
        <v>149961</v>
      </c>
      <c r="E290" s="91">
        <v>-3213.0000000000064</v>
      </c>
      <c r="F290" s="91">
        <v>149961</v>
      </c>
    </row>
    <row r="291" spans="1:6" x14ac:dyDescent="0.3">
      <c r="A291" s="91">
        <v>1365.95</v>
      </c>
      <c r="B291" s="91">
        <v>-3212.9999999999955</v>
      </c>
      <c r="C291" s="91">
        <v>153892.5</v>
      </c>
      <c r="D291" s="91">
        <v>150679.5</v>
      </c>
      <c r="E291" s="91">
        <v>-3212.9999999999955</v>
      </c>
      <c r="F291" s="91">
        <v>150679.5</v>
      </c>
    </row>
    <row r="292" spans="1:6" x14ac:dyDescent="0.3">
      <c r="A292" s="91">
        <v>1370.74</v>
      </c>
      <c r="B292" s="91">
        <v>-3212.9999999999991</v>
      </c>
      <c r="C292" s="91">
        <v>154611</v>
      </c>
      <c r="D292" s="91">
        <v>151398</v>
      </c>
      <c r="E292" s="91">
        <v>-3212.9999999999991</v>
      </c>
      <c r="F292" s="91">
        <v>151398</v>
      </c>
    </row>
    <row r="293" spans="1:6" x14ac:dyDescent="0.3">
      <c r="A293" s="91">
        <v>1375.53</v>
      </c>
      <c r="B293" s="91">
        <v>-3213.0000000000027</v>
      </c>
      <c r="C293" s="91">
        <v>155329.5</v>
      </c>
      <c r="D293" s="91">
        <v>152116.5</v>
      </c>
      <c r="E293" s="91">
        <v>-3213.0000000000027</v>
      </c>
      <c r="F293" s="91">
        <v>152116.5</v>
      </c>
    </row>
    <row r="294" spans="1:6" x14ac:dyDescent="0.3">
      <c r="A294" s="91">
        <v>1380.33</v>
      </c>
      <c r="B294" s="91">
        <v>-3213.0000000000073</v>
      </c>
      <c r="C294" s="91">
        <v>156049.5</v>
      </c>
      <c r="D294" s="91">
        <v>152836.5</v>
      </c>
      <c r="E294" s="91">
        <v>-3213.0000000000073</v>
      </c>
      <c r="F294" s="91">
        <v>152836.5</v>
      </c>
    </row>
    <row r="295" spans="1:6" x14ac:dyDescent="0.3">
      <c r="A295" s="91">
        <v>1385.12</v>
      </c>
      <c r="B295" s="91">
        <v>-3212.9999999999964</v>
      </c>
      <c r="C295" s="91">
        <v>156767.99999999997</v>
      </c>
      <c r="D295" s="91">
        <v>153554.99999999997</v>
      </c>
      <c r="E295" s="91">
        <v>-3212.9999999999964</v>
      </c>
      <c r="F295" s="91">
        <v>153554.99999999997</v>
      </c>
    </row>
    <row r="296" spans="1:6" x14ac:dyDescent="0.3">
      <c r="A296" s="91">
        <v>1389.91</v>
      </c>
      <c r="B296" s="91">
        <v>-3213.0000000000064</v>
      </c>
      <c r="C296" s="91">
        <v>157486.5</v>
      </c>
      <c r="D296" s="91">
        <v>154273.5</v>
      </c>
      <c r="E296" s="91">
        <v>-3213.0000000000064</v>
      </c>
      <c r="F296" s="91">
        <v>154273.5</v>
      </c>
    </row>
    <row r="297" spans="1:6" x14ac:dyDescent="0.3">
      <c r="A297" s="91">
        <v>1394.7</v>
      </c>
      <c r="B297" s="91">
        <v>-3212.9999999999955</v>
      </c>
      <c r="C297" s="91">
        <v>158205</v>
      </c>
      <c r="D297" s="91">
        <v>154992</v>
      </c>
      <c r="E297" s="91">
        <v>-3212.9999999999955</v>
      </c>
      <c r="F297" s="91">
        <v>154992</v>
      </c>
    </row>
    <row r="298" spans="1:6" x14ac:dyDescent="0.3">
      <c r="A298" s="91">
        <v>1399.5</v>
      </c>
      <c r="B298" s="91">
        <v>-3213</v>
      </c>
      <c r="C298" s="91">
        <v>158925</v>
      </c>
      <c r="D298" s="91">
        <v>155712</v>
      </c>
      <c r="E298" s="91">
        <v>-3213</v>
      </c>
      <c r="F298" s="91">
        <v>155712</v>
      </c>
    </row>
    <row r="299" spans="1:6" x14ac:dyDescent="0.3">
      <c r="A299" s="91">
        <v>1404.29</v>
      </c>
      <c r="B299" s="91">
        <v>-3213.0000000000036</v>
      </c>
      <c r="C299" s="91">
        <v>159643.5</v>
      </c>
      <c r="D299" s="91">
        <v>156430.5</v>
      </c>
      <c r="E299" s="91">
        <v>-3213.0000000000036</v>
      </c>
      <c r="F299" s="91">
        <v>156430.5</v>
      </c>
    </row>
    <row r="300" spans="1:6" x14ac:dyDescent="0.3">
      <c r="A300" s="91">
        <v>1409.08</v>
      </c>
      <c r="B300" s="91">
        <v>-3213.0000000000073</v>
      </c>
      <c r="C300" s="91">
        <v>160362</v>
      </c>
      <c r="D300" s="91">
        <v>157149</v>
      </c>
      <c r="E300" s="91">
        <v>-3213.0000000000073</v>
      </c>
      <c r="F300" s="91">
        <v>157149</v>
      </c>
    </row>
    <row r="301" spans="1:6" x14ac:dyDescent="0.3">
      <c r="A301" s="91">
        <v>1413.88</v>
      </c>
      <c r="B301" s="91">
        <v>-3213.0000000000036</v>
      </c>
      <c r="C301" s="91">
        <v>161082.00000000003</v>
      </c>
      <c r="D301" s="91">
        <v>157869.00000000003</v>
      </c>
      <c r="E301" s="91">
        <v>-3213.0000000000036</v>
      </c>
      <c r="F301" s="91">
        <v>157869.00000000003</v>
      </c>
    </row>
    <row r="302" spans="1:6" x14ac:dyDescent="0.3">
      <c r="A302" s="91">
        <v>1418.67</v>
      </c>
      <c r="B302" s="91">
        <v>-3212.9999999999927</v>
      </c>
      <c r="C302" s="91">
        <v>161800.5</v>
      </c>
      <c r="D302" s="91">
        <v>158587.5</v>
      </c>
      <c r="E302" s="91">
        <v>-3212.9999999999927</v>
      </c>
      <c r="F302" s="91">
        <v>158587.5</v>
      </c>
    </row>
    <row r="303" spans="1:6" x14ac:dyDescent="0.3">
      <c r="A303" s="91">
        <v>1423.46</v>
      </c>
      <c r="B303" s="91">
        <v>-3212.9999999999964</v>
      </c>
      <c r="C303" s="91">
        <v>162519</v>
      </c>
      <c r="D303" s="91">
        <v>159306</v>
      </c>
      <c r="E303" s="91">
        <v>-3212.9999999999964</v>
      </c>
      <c r="F303" s="91">
        <v>159306</v>
      </c>
    </row>
    <row r="304" spans="1:6" x14ac:dyDescent="0.3">
      <c r="A304">
        <v>1428.25</v>
      </c>
      <c r="B304">
        <v>-3213</v>
      </c>
      <c r="C304">
        <v>163237.5</v>
      </c>
      <c r="D304">
        <v>160024.5</v>
      </c>
      <c r="E304">
        <v>-3213</v>
      </c>
      <c r="F304">
        <v>160024.5</v>
      </c>
    </row>
    <row r="305" spans="1:6" x14ac:dyDescent="0.3">
      <c r="A305">
        <v>1433.05</v>
      </c>
      <c r="B305">
        <v>-3213.0000000000045</v>
      </c>
      <c r="C305">
        <v>163957.5</v>
      </c>
      <c r="D305">
        <v>160744.5</v>
      </c>
      <c r="E305">
        <v>-3213.0000000000045</v>
      </c>
      <c r="F305">
        <v>160744.5</v>
      </c>
    </row>
    <row r="306" spans="1:6" x14ac:dyDescent="0.3">
      <c r="A306">
        <v>1437.84</v>
      </c>
      <c r="B306">
        <v>-3212.9999999999936</v>
      </c>
      <c r="C306">
        <v>164676</v>
      </c>
      <c r="D306">
        <v>161463</v>
      </c>
      <c r="E306">
        <v>-3212.9999999999936</v>
      </c>
      <c r="F306">
        <v>161463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9A405-A1F3-4D05-8A71-5DB1CDF60AE1}">
  <sheetPr codeName="Sheet2">
    <tabColor rgb="FF7030A0"/>
  </sheetPr>
  <dimension ref="A1:U64"/>
  <sheetViews>
    <sheetView topLeftCell="S31" workbookViewId="0">
      <selection activeCell="F13" sqref="F13"/>
    </sheetView>
  </sheetViews>
  <sheetFormatPr defaultRowHeight="14.4" x14ac:dyDescent="0.3"/>
  <cols>
    <col min="2" max="2" width="19.33203125" bestFit="1" customWidth="1"/>
    <col min="3" max="3" width="14.88671875" bestFit="1" customWidth="1"/>
    <col min="4" max="4" width="25.33203125" bestFit="1" customWidth="1"/>
    <col min="5" max="5" width="12" customWidth="1"/>
    <col min="6" max="6" width="11.6640625" customWidth="1"/>
    <col min="7" max="7" width="12.33203125" customWidth="1"/>
    <col min="8" max="8" width="12.88671875" customWidth="1"/>
    <col min="9" max="9" width="12" customWidth="1"/>
    <col min="10" max="10" width="11.6640625" customWidth="1"/>
    <col min="11" max="11" width="12.33203125" customWidth="1"/>
    <col min="12" max="12" width="12.88671875" customWidth="1"/>
    <col min="13" max="13" width="12" customWidth="1"/>
    <col min="14" max="14" width="11.6640625" customWidth="1"/>
    <col min="15" max="15" width="12.33203125" customWidth="1"/>
    <col min="16" max="16" width="12.88671875" customWidth="1"/>
    <col min="17" max="17" width="12" customWidth="1"/>
    <col min="18" max="18" width="11.6640625" customWidth="1"/>
    <col min="19" max="19" width="12.33203125" customWidth="1"/>
    <col min="20" max="20" width="12.88671875" customWidth="1"/>
    <col min="21" max="21" width="204.33203125" bestFit="1" customWidth="1"/>
  </cols>
  <sheetData>
    <row r="1" spans="1:21" x14ac:dyDescent="0.3">
      <c r="A1" t="s">
        <v>0</v>
      </c>
      <c r="B1" t="s">
        <v>1</v>
      </c>
      <c r="C1" t="s">
        <v>2</v>
      </c>
      <c r="D1" t="s">
        <v>3</v>
      </c>
      <c r="E1" t="s">
        <v>4</v>
      </c>
      <c r="F1" t="s">
        <v>5</v>
      </c>
      <c r="G1" t="s">
        <v>6</v>
      </c>
      <c r="H1" t="s">
        <v>7</v>
      </c>
      <c r="I1" t="s">
        <v>8</v>
      </c>
      <c r="J1" t="s">
        <v>9</v>
      </c>
      <c r="K1" t="s">
        <v>10</v>
      </c>
      <c r="L1" t="s">
        <v>11</v>
      </c>
      <c r="M1" t="s">
        <v>24</v>
      </c>
      <c r="N1" t="s">
        <v>25</v>
      </c>
      <c r="O1" t="s">
        <v>26</v>
      </c>
      <c r="P1" t="s">
        <v>27</v>
      </c>
      <c r="Q1" t="s">
        <v>28</v>
      </c>
      <c r="R1" t="s">
        <v>29</v>
      </c>
      <c r="S1" t="s">
        <v>30</v>
      </c>
      <c r="T1" t="s">
        <v>31</v>
      </c>
      <c r="U1" t="s">
        <v>480</v>
      </c>
    </row>
    <row r="2" spans="1:21" x14ac:dyDescent="0.3">
      <c r="A2">
        <v>1</v>
      </c>
      <c r="B2" t="s">
        <v>32</v>
      </c>
      <c r="C2" t="s">
        <v>131</v>
      </c>
      <c r="D2" t="s">
        <v>33</v>
      </c>
      <c r="E2" t="s">
        <v>89</v>
      </c>
      <c r="F2" t="s">
        <v>89</v>
      </c>
      <c r="G2" t="s">
        <v>89</v>
      </c>
      <c r="H2" t="s">
        <v>89</v>
      </c>
      <c r="I2" t="s">
        <v>89</v>
      </c>
      <c r="J2" t="s">
        <v>89</v>
      </c>
      <c r="K2" t="s">
        <v>89</v>
      </c>
      <c r="L2" t="s">
        <v>89</v>
      </c>
      <c r="M2" t="s">
        <v>89</v>
      </c>
      <c r="N2" t="s">
        <v>89</v>
      </c>
      <c r="O2" t="s">
        <v>89</v>
      </c>
      <c r="P2" t="s">
        <v>89</v>
      </c>
      <c r="Q2" t="s">
        <v>89</v>
      </c>
      <c r="R2" t="s">
        <v>89</v>
      </c>
      <c r="S2" t="s">
        <v>89</v>
      </c>
      <c r="T2" t="s">
        <v>89</v>
      </c>
      <c r="U2" t="s">
        <v>486</v>
      </c>
    </row>
    <row r="3" spans="1:21" x14ac:dyDescent="0.3">
      <c r="A3">
        <v>2</v>
      </c>
      <c r="B3" t="s">
        <v>32</v>
      </c>
      <c r="C3" t="s">
        <v>12</v>
      </c>
      <c r="D3" t="s">
        <v>34</v>
      </c>
      <c r="E3" t="s">
        <v>35</v>
      </c>
      <c r="F3" t="s">
        <v>15</v>
      </c>
      <c r="G3">
        <v>1</v>
      </c>
      <c r="H3" t="s">
        <v>89</v>
      </c>
      <c r="U3" t="s">
        <v>487</v>
      </c>
    </row>
    <row r="4" spans="1:21" x14ac:dyDescent="0.3">
      <c r="A4">
        <v>3</v>
      </c>
      <c r="B4" t="s">
        <v>32</v>
      </c>
      <c r="C4" t="s">
        <v>17</v>
      </c>
      <c r="D4" t="s">
        <v>36</v>
      </c>
      <c r="E4" t="s">
        <v>35</v>
      </c>
      <c r="F4" t="s">
        <v>21</v>
      </c>
      <c r="G4">
        <v>1</v>
      </c>
      <c r="H4" t="s">
        <v>89</v>
      </c>
      <c r="U4" t="s">
        <v>488</v>
      </c>
    </row>
    <row r="5" spans="1:21" x14ac:dyDescent="0.3">
      <c r="A5">
        <v>4</v>
      </c>
      <c r="B5" t="s">
        <v>32</v>
      </c>
      <c r="C5" t="s">
        <v>12</v>
      </c>
      <c r="D5" t="s">
        <v>13</v>
      </c>
      <c r="E5" t="s">
        <v>14</v>
      </c>
      <c r="F5" t="s">
        <v>15</v>
      </c>
      <c r="G5">
        <v>1</v>
      </c>
      <c r="H5" t="s">
        <v>89</v>
      </c>
      <c r="U5" t="s">
        <v>489</v>
      </c>
    </row>
    <row r="6" spans="1:21" x14ac:dyDescent="0.3">
      <c r="A6">
        <v>5</v>
      </c>
      <c r="B6" t="s">
        <v>32</v>
      </c>
      <c r="C6" t="s">
        <v>17</v>
      </c>
      <c r="D6" t="s">
        <v>37</v>
      </c>
      <c r="E6" t="s">
        <v>14</v>
      </c>
      <c r="F6" t="s">
        <v>21</v>
      </c>
      <c r="G6">
        <v>1</v>
      </c>
      <c r="H6" t="s">
        <v>89</v>
      </c>
      <c r="U6" t="s">
        <v>490</v>
      </c>
    </row>
    <row r="7" spans="1:21" x14ac:dyDescent="0.3">
      <c r="A7">
        <v>6</v>
      </c>
      <c r="B7" t="s">
        <v>32</v>
      </c>
      <c r="C7" t="s">
        <v>17</v>
      </c>
      <c r="D7" t="s">
        <v>18</v>
      </c>
      <c r="E7" t="s">
        <v>19</v>
      </c>
      <c r="F7" t="s">
        <v>15</v>
      </c>
      <c r="G7">
        <v>1</v>
      </c>
      <c r="H7" t="s">
        <v>89</v>
      </c>
      <c r="U7" t="s">
        <v>491</v>
      </c>
    </row>
    <row r="8" spans="1:21" x14ac:dyDescent="0.3">
      <c r="A8">
        <v>7</v>
      </c>
      <c r="B8" t="s">
        <v>32</v>
      </c>
      <c r="C8" t="s">
        <v>12</v>
      </c>
      <c r="D8" t="s">
        <v>38</v>
      </c>
      <c r="E8" t="s">
        <v>19</v>
      </c>
      <c r="F8" t="s">
        <v>21</v>
      </c>
      <c r="G8">
        <v>1</v>
      </c>
      <c r="H8" t="s">
        <v>89</v>
      </c>
      <c r="U8" t="s">
        <v>492</v>
      </c>
    </row>
    <row r="9" spans="1:21" x14ac:dyDescent="0.3">
      <c r="A9">
        <v>8</v>
      </c>
      <c r="B9" t="s">
        <v>32</v>
      </c>
      <c r="C9" t="s">
        <v>12</v>
      </c>
      <c r="D9" t="s">
        <v>39</v>
      </c>
      <c r="E9" t="s">
        <v>35</v>
      </c>
      <c r="F9" t="s">
        <v>15</v>
      </c>
      <c r="G9">
        <v>1</v>
      </c>
      <c r="H9" t="s">
        <v>89</v>
      </c>
      <c r="I9" t="s">
        <v>14</v>
      </c>
      <c r="J9" t="s">
        <v>21</v>
      </c>
      <c r="K9">
        <v>1</v>
      </c>
      <c r="L9" t="s">
        <v>90</v>
      </c>
      <c r="U9" t="s">
        <v>493</v>
      </c>
    </row>
    <row r="10" spans="1:21" x14ac:dyDescent="0.3">
      <c r="A10">
        <v>9</v>
      </c>
      <c r="B10" t="s">
        <v>32</v>
      </c>
      <c r="C10" t="s">
        <v>17</v>
      </c>
      <c r="D10" t="s">
        <v>40</v>
      </c>
      <c r="E10" t="s">
        <v>35</v>
      </c>
      <c r="F10" t="s">
        <v>21</v>
      </c>
      <c r="G10">
        <v>1</v>
      </c>
      <c r="H10" t="s">
        <v>89</v>
      </c>
      <c r="I10" t="s">
        <v>19</v>
      </c>
      <c r="J10" t="s">
        <v>21</v>
      </c>
      <c r="K10">
        <v>1</v>
      </c>
      <c r="L10" t="s">
        <v>91</v>
      </c>
      <c r="U10" t="s">
        <v>494</v>
      </c>
    </row>
    <row r="11" spans="1:21" x14ac:dyDescent="0.3">
      <c r="A11">
        <v>10</v>
      </c>
      <c r="B11" t="s">
        <v>32</v>
      </c>
      <c r="C11" t="s">
        <v>17</v>
      </c>
      <c r="D11" t="s">
        <v>41</v>
      </c>
      <c r="E11" t="s">
        <v>35</v>
      </c>
      <c r="F11" t="s">
        <v>21</v>
      </c>
      <c r="G11">
        <v>1</v>
      </c>
      <c r="H11" t="s">
        <v>89</v>
      </c>
      <c r="I11" t="s">
        <v>14</v>
      </c>
      <c r="J11" t="s">
        <v>15</v>
      </c>
      <c r="K11">
        <v>1</v>
      </c>
      <c r="L11" t="s">
        <v>90</v>
      </c>
      <c r="U11" t="s">
        <v>495</v>
      </c>
    </row>
    <row r="12" spans="1:21" x14ac:dyDescent="0.3">
      <c r="A12">
        <v>11</v>
      </c>
      <c r="B12" t="s">
        <v>32</v>
      </c>
      <c r="C12" t="s">
        <v>12</v>
      </c>
      <c r="D12" t="s">
        <v>42</v>
      </c>
      <c r="E12" t="s">
        <v>35</v>
      </c>
      <c r="F12" t="s">
        <v>15</v>
      </c>
      <c r="G12">
        <v>1</v>
      </c>
      <c r="H12" t="s">
        <v>89</v>
      </c>
      <c r="I12" t="s">
        <v>19</v>
      </c>
      <c r="J12" t="s">
        <v>15</v>
      </c>
      <c r="K12">
        <v>1</v>
      </c>
      <c r="L12" t="s">
        <v>91</v>
      </c>
      <c r="U12" t="s">
        <v>496</v>
      </c>
    </row>
    <row r="13" spans="1:21" x14ac:dyDescent="0.3">
      <c r="A13">
        <v>12</v>
      </c>
      <c r="B13" t="s">
        <v>32</v>
      </c>
      <c r="C13" t="s">
        <v>23</v>
      </c>
      <c r="D13" t="s">
        <v>43</v>
      </c>
      <c r="E13" t="s">
        <v>35</v>
      </c>
      <c r="F13" t="s">
        <v>15</v>
      </c>
      <c r="G13">
        <v>1</v>
      </c>
      <c r="H13" t="s">
        <v>89</v>
      </c>
      <c r="I13" t="s">
        <v>19</v>
      </c>
      <c r="J13" t="s">
        <v>15</v>
      </c>
      <c r="K13">
        <v>1</v>
      </c>
      <c r="L13" t="s">
        <v>91</v>
      </c>
      <c r="M13" t="s">
        <v>14</v>
      </c>
      <c r="N13" t="s">
        <v>21</v>
      </c>
      <c r="O13">
        <v>1</v>
      </c>
      <c r="P13" t="s">
        <v>90</v>
      </c>
      <c r="U13" t="s">
        <v>497</v>
      </c>
    </row>
    <row r="14" spans="1:21" x14ac:dyDescent="0.3">
      <c r="A14">
        <v>13</v>
      </c>
      <c r="B14" t="s">
        <v>44</v>
      </c>
      <c r="C14" t="s">
        <v>12</v>
      </c>
      <c r="D14" t="s">
        <v>20</v>
      </c>
      <c r="E14" t="s">
        <v>14</v>
      </c>
      <c r="F14" t="s">
        <v>15</v>
      </c>
      <c r="G14">
        <v>1</v>
      </c>
      <c r="H14" t="s">
        <v>91</v>
      </c>
      <c r="I14" t="s">
        <v>14</v>
      </c>
      <c r="J14" t="s">
        <v>21</v>
      </c>
      <c r="K14">
        <v>1</v>
      </c>
      <c r="L14" t="s">
        <v>90</v>
      </c>
      <c r="U14" t="s">
        <v>498</v>
      </c>
    </row>
    <row r="15" spans="1:21" x14ac:dyDescent="0.3">
      <c r="A15">
        <v>14</v>
      </c>
      <c r="B15" t="s">
        <v>44</v>
      </c>
      <c r="C15" t="s">
        <v>17</v>
      </c>
      <c r="D15" t="s">
        <v>45</v>
      </c>
      <c r="E15" t="s">
        <v>19</v>
      </c>
      <c r="F15" t="s">
        <v>15</v>
      </c>
      <c r="G15">
        <v>1</v>
      </c>
      <c r="H15" t="s">
        <v>90</v>
      </c>
      <c r="I15" t="s">
        <v>19</v>
      </c>
      <c r="J15" t="s">
        <v>21</v>
      </c>
      <c r="K15">
        <v>1</v>
      </c>
      <c r="L15" t="s">
        <v>91</v>
      </c>
      <c r="U15" t="s">
        <v>499</v>
      </c>
    </row>
    <row r="16" spans="1:21" x14ac:dyDescent="0.3">
      <c r="A16">
        <v>15</v>
      </c>
      <c r="B16" t="s">
        <v>44</v>
      </c>
      <c r="C16" t="s">
        <v>17</v>
      </c>
      <c r="D16" t="s">
        <v>22</v>
      </c>
      <c r="E16" t="s">
        <v>14</v>
      </c>
      <c r="F16" t="s">
        <v>21</v>
      </c>
      <c r="G16">
        <v>1</v>
      </c>
      <c r="H16" t="s">
        <v>91</v>
      </c>
      <c r="I16" t="s">
        <v>14</v>
      </c>
      <c r="J16" t="s">
        <v>15</v>
      </c>
      <c r="K16">
        <v>1</v>
      </c>
      <c r="L16" t="s">
        <v>90</v>
      </c>
      <c r="U16" t="s">
        <v>500</v>
      </c>
    </row>
    <row r="17" spans="1:21" x14ac:dyDescent="0.3">
      <c r="A17">
        <v>16</v>
      </c>
      <c r="B17" t="s">
        <v>44</v>
      </c>
      <c r="C17" t="s">
        <v>12</v>
      </c>
      <c r="D17" t="s">
        <v>46</v>
      </c>
      <c r="E17" t="s">
        <v>19</v>
      </c>
      <c r="F17" t="s">
        <v>21</v>
      </c>
      <c r="G17">
        <v>1</v>
      </c>
      <c r="H17" t="s">
        <v>90</v>
      </c>
      <c r="I17" t="s">
        <v>19</v>
      </c>
      <c r="J17" t="s">
        <v>15</v>
      </c>
      <c r="K17">
        <v>1</v>
      </c>
      <c r="L17" t="s">
        <v>91</v>
      </c>
      <c r="U17" t="s">
        <v>501</v>
      </c>
    </row>
    <row r="18" spans="1:21" x14ac:dyDescent="0.3">
      <c r="A18">
        <v>17</v>
      </c>
      <c r="B18" t="s">
        <v>47</v>
      </c>
      <c r="C18" t="s">
        <v>12</v>
      </c>
      <c r="D18" t="s">
        <v>48</v>
      </c>
      <c r="E18" t="s">
        <v>14</v>
      </c>
      <c r="F18" t="s">
        <v>21</v>
      </c>
      <c r="G18">
        <v>1</v>
      </c>
      <c r="H18" t="s">
        <v>91</v>
      </c>
      <c r="I18" t="s">
        <v>14</v>
      </c>
      <c r="J18" t="s">
        <v>15</v>
      </c>
      <c r="K18">
        <v>2</v>
      </c>
      <c r="L18" t="s">
        <v>90</v>
      </c>
      <c r="U18" t="s">
        <v>502</v>
      </c>
    </row>
    <row r="19" spans="1:21" x14ac:dyDescent="0.3">
      <c r="A19">
        <v>18</v>
      </c>
      <c r="B19" t="s">
        <v>47</v>
      </c>
      <c r="C19" t="s">
        <v>17</v>
      </c>
      <c r="D19" t="s">
        <v>49</v>
      </c>
      <c r="E19" t="s">
        <v>19</v>
      </c>
      <c r="F19" t="s">
        <v>21</v>
      </c>
      <c r="G19">
        <v>1</v>
      </c>
      <c r="H19" t="s">
        <v>90</v>
      </c>
      <c r="I19" t="s">
        <v>19</v>
      </c>
      <c r="J19" t="s">
        <v>15</v>
      </c>
      <c r="K19">
        <v>2</v>
      </c>
      <c r="L19" t="s">
        <v>91</v>
      </c>
      <c r="U19" t="s">
        <v>503</v>
      </c>
    </row>
    <row r="20" spans="1:21" x14ac:dyDescent="0.3">
      <c r="A20">
        <v>19</v>
      </c>
      <c r="B20" t="s">
        <v>47</v>
      </c>
      <c r="C20" t="s">
        <v>17</v>
      </c>
      <c r="D20" t="s">
        <v>50</v>
      </c>
      <c r="E20" t="s">
        <v>14</v>
      </c>
      <c r="F20" t="s">
        <v>15</v>
      </c>
      <c r="G20">
        <v>1</v>
      </c>
      <c r="H20" t="s">
        <v>91</v>
      </c>
      <c r="I20" t="s">
        <v>14</v>
      </c>
      <c r="J20" t="s">
        <v>21</v>
      </c>
      <c r="K20">
        <v>2</v>
      </c>
      <c r="L20" t="s">
        <v>90</v>
      </c>
      <c r="U20" t="s">
        <v>504</v>
      </c>
    </row>
    <row r="21" spans="1:21" x14ac:dyDescent="0.3">
      <c r="A21">
        <v>20</v>
      </c>
      <c r="B21" t="s">
        <v>47</v>
      </c>
      <c r="C21" t="s">
        <v>12</v>
      </c>
      <c r="D21" t="s">
        <v>51</v>
      </c>
      <c r="E21" t="s">
        <v>19</v>
      </c>
      <c r="F21" t="s">
        <v>15</v>
      </c>
      <c r="G21">
        <v>1</v>
      </c>
      <c r="H21" t="s">
        <v>90</v>
      </c>
      <c r="I21" t="s">
        <v>19</v>
      </c>
      <c r="J21" t="s">
        <v>21</v>
      </c>
      <c r="K21">
        <v>2</v>
      </c>
      <c r="L21" t="s">
        <v>91</v>
      </c>
      <c r="U21" t="s">
        <v>505</v>
      </c>
    </row>
    <row r="22" spans="1:21" x14ac:dyDescent="0.3">
      <c r="A22">
        <v>21</v>
      </c>
      <c r="B22" t="s">
        <v>52</v>
      </c>
      <c r="C22" t="s">
        <v>12</v>
      </c>
      <c r="D22" t="s">
        <v>53</v>
      </c>
      <c r="E22" t="s">
        <v>14</v>
      </c>
      <c r="F22" t="s">
        <v>15</v>
      </c>
      <c r="G22">
        <v>1</v>
      </c>
      <c r="H22" t="s">
        <v>92</v>
      </c>
      <c r="I22" t="s">
        <v>14</v>
      </c>
      <c r="J22" t="s">
        <v>21</v>
      </c>
      <c r="K22">
        <v>1</v>
      </c>
      <c r="L22" t="s">
        <v>93</v>
      </c>
      <c r="M22" t="s">
        <v>14</v>
      </c>
      <c r="N22" t="s">
        <v>21</v>
      </c>
      <c r="O22">
        <v>1</v>
      </c>
      <c r="P22" t="s">
        <v>94</v>
      </c>
      <c r="U22" t="s">
        <v>506</v>
      </c>
    </row>
    <row r="23" spans="1:21" x14ac:dyDescent="0.3">
      <c r="A23">
        <v>22</v>
      </c>
      <c r="B23" t="s">
        <v>52</v>
      </c>
      <c r="C23" t="s">
        <v>17</v>
      </c>
      <c r="D23" t="s">
        <v>56</v>
      </c>
      <c r="E23" t="s">
        <v>19</v>
      </c>
      <c r="F23" t="s">
        <v>15</v>
      </c>
      <c r="G23">
        <v>1</v>
      </c>
      <c r="H23" t="s">
        <v>94</v>
      </c>
      <c r="I23" t="s">
        <v>19</v>
      </c>
      <c r="J23" t="s">
        <v>21</v>
      </c>
      <c r="K23">
        <v>1</v>
      </c>
      <c r="L23" t="s">
        <v>93</v>
      </c>
      <c r="M23" t="s">
        <v>19</v>
      </c>
      <c r="N23" t="s">
        <v>21</v>
      </c>
      <c r="O23">
        <v>1</v>
      </c>
      <c r="P23" t="s">
        <v>92</v>
      </c>
      <c r="U23" t="s">
        <v>507</v>
      </c>
    </row>
    <row r="24" spans="1:21" x14ac:dyDescent="0.3">
      <c r="A24">
        <v>23</v>
      </c>
      <c r="B24" t="s">
        <v>52</v>
      </c>
      <c r="C24" t="s">
        <v>17</v>
      </c>
      <c r="D24" t="s">
        <v>55</v>
      </c>
      <c r="E24" t="s">
        <v>14</v>
      </c>
      <c r="F24" t="s">
        <v>21</v>
      </c>
      <c r="G24">
        <v>1</v>
      </c>
      <c r="H24" t="s">
        <v>92</v>
      </c>
      <c r="I24" t="s">
        <v>14</v>
      </c>
      <c r="J24" t="s">
        <v>15</v>
      </c>
      <c r="K24">
        <v>1</v>
      </c>
      <c r="L24" t="s">
        <v>93</v>
      </c>
      <c r="M24" t="s">
        <v>14</v>
      </c>
      <c r="N24" t="s">
        <v>15</v>
      </c>
      <c r="O24">
        <v>1</v>
      </c>
      <c r="P24" t="s">
        <v>94</v>
      </c>
      <c r="U24" t="s">
        <v>508</v>
      </c>
    </row>
    <row r="25" spans="1:21" x14ac:dyDescent="0.3">
      <c r="A25">
        <v>24</v>
      </c>
      <c r="B25" t="s">
        <v>52</v>
      </c>
      <c r="C25" t="s">
        <v>12</v>
      </c>
      <c r="D25" t="s">
        <v>54</v>
      </c>
      <c r="E25" t="s">
        <v>19</v>
      </c>
      <c r="F25" t="s">
        <v>21</v>
      </c>
      <c r="G25">
        <v>1</v>
      </c>
      <c r="H25" t="s">
        <v>94</v>
      </c>
      <c r="I25" t="s">
        <v>19</v>
      </c>
      <c r="J25" t="s">
        <v>15</v>
      </c>
      <c r="K25">
        <v>1</v>
      </c>
      <c r="L25" t="s">
        <v>93</v>
      </c>
      <c r="M25" t="s">
        <v>19</v>
      </c>
      <c r="N25" t="s">
        <v>15</v>
      </c>
      <c r="O25">
        <v>1</v>
      </c>
      <c r="P25" t="s">
        <v>92</v>
      </c>
      <c r="U25" t="s">
        <v>509</v>
      </c>
    </row>
    <row r="26" spans="1:21" x14ac:dyDescent="0.3">
      <c r="A26">
        <v>25</v>
      </c>
      <c r="B26" t="s">
        <v>95</v>
      </c>
      <c r="C26" t="s">
        <v>96</v>
      </c>
      <c r="D26" t="s">
        <v>57</v>
      </c>
      <c r="E26" t="s">
        <v>14</v>
      </c>
      <c r="F26" t="s">
        <v>15</v>
      </c>
      <c r="G26">
        <v>1</v>
      </c>
      <c r="H26" t="s">
        <v>92</v>
      </c>
      <c r="I26" t="s">
        <v>14</v>
      </c>
      <c r="J26" t="s">
        <v>21</v>
      </c>
      <c r="K26">
        <v>2</v>
      </c>
      <c r="L26" t="s">
        <v>93</v>
      </c>
      <c r="M26" t="s">
        <v>14</v>
      </c>
      <c r="N26" t="s">
        <v>15</v>
      </c>
      <c r="O26">
        <v>1</v>
      </c>
      <c r="P26" t="s">
        <v>94</v>
      </c>
      <c r="U26" t="s">
        <v>510</v>
      </c>
    </row>
    <row r="27" spans="1:21" x14ac:dyDescent="0.3">
      <c r="A27">
        <v>26</v>
      </c>
      <c r="B27" t="s">
        <v>95</v>
      </c>
      <c r="C27" t="s">
        <v>96</v>
      </c>
      <c r="D27" t="s">
        <v>58</v>
      </c>
      <c r="E27" t="s">
        <v>19</v>
      </c>
      <c r="F27" t="s">
        <v>15</v>
      </c>
      <c r="G27">
        <v>1</v>
      </c>
      <c r="H27" t="s">
        <v>92</v>
      </c>
      <c r="I27" t="s">
        <v>19</v>
      </c>
      <c r="J27" t="s">
        <v>21</v>
      </c>
      <c r="K27">
        <v>2</v>
      </c>
      <c r="L27" t="s">
        <v>93</v>
      </c>
      <c r="M27" t="s">
        <v>19</v>
      </c>
      <c r="N27" t="s">
        <v>15</v>
      </c>
      <c r="O27">
        <v>1</v>
      </c>
      <c r="P27" t="s">
        <v>94</v>
      </c>
      <c r="U27" t="s">
        <v>511</v>
      </c>
    </row>
    <row r="28" spans="1:21" x14ac:dyDescent="0.3">
      <c r="A28">
        <v>27</v>
      </c>
      <c r="B28" t="s">
        <v>95</v>
      </c>
      <c r="C28" t="s">
        <v>96</v>
      </c>
      <c r="D28" t="s">
        <v>59</v>
      </c>
      <c r="E28" t="s">
        <v>19</v>
      </c>
      <c r="F28" t="s">
        <v>15</v>
      </c>
      <c r="G28">
        <v>1</v>
      </c>
      <c r="H28" t="s">
        <v>92</v>
      </c>
      <c r="I28" t="s">
        <v>19</v>
      </c>
      <c r="J28" t="s">
        <v>21</v>
      </c>
      <c r="K28">
        <v>1</v>
      </c>
      <c r="L28" t="s">
        <v>93</v>
      </c>
      <c r="M28" t="s">
        <v>14</v>
      </c>
      <c r="N28" t="s">
        <v>21</v>
      </c>
      <c r="O28">
        <v>1</v>
      </c>
      <c r="P28" t="s">
        <v>93</v>
      </c>
      <c r="Q28" t="s">
        <v>14</v>
      </c>
      <c r="R28" t="s">
        <v>15</v>
      </c>
      <c r="S28">
        <v>1</v>
      </c>
      <c r="T28" t="s">
        <v>94</v>
      </c>
      <c r="U28" t="s">
        <v>512</v>
      </c>
    </row>
    <row r="29" spans="1:21" x14ac:dyDescent="0.3">
      <c r="A29">
        <v>28</v>
      </c>
      <c r="B29" t="s">
        <v>95</v>
      </c>
      <c r="C29" t="s">
        <v>96</v>
      </c>
      <c r="D29" t="s">
        <v>60</v>
      </c>
      <c r="E29" t="s">
        <v>14</v>
      </c>
      <c r="F29" t="s">
        <v>15</v>
      </c>
      <c r="G29">
        <v>1</v>
      </c>
      <c r="H29" t="s">
        <v>97</v>
      </c>
      <c r="I29" t="s">
        <v>14</v>
      </c>
      <c r="J29" t="s">
        <v>21</v>
      </c>
      <c r="K29">
        <v>1</v>
      </c>
      <c r="L29" t="s">
        <v>98</v>
      </c>
      <c r="M29" t="s">
        <v>14</v>
      </c>
      <c r="N29" t="s">
        <v>21</v>
      </c>
      <c r="O29">
        <v>1</v>
      </c>
      <c r="P29" t="s">
        <v>99</v>
      </c>
      <c r="Q29" t="s">
        <v>14</v>
      </c>
      <c r="R29" t="s">
        <v>15</v>
      </c>
      <c r="S29">
        <v>1</v>
      </c>
      <c r="T29" t="s">
        <v>100</v>
      </c>
      <c r="U29" t="s">
        <v>513</v>
      </c>
    </row>
    <row r="30" spans="1:21" x14ac:dyDescent="0.3">
      <c r="A30">
        <v>29</v>
      </c>
      <c r="B30" t="s">
        <v>95</v>
      </c>
      <c r="C30" t="s">
        <v>96</v>
      </c>
      <c r="D30" t="s">
        <v>61</v>
      </c>
      <c r="E30" t="s">
        <v>19</v>
      </c>
      <c r="F30" t="s">
        <v>15</v>
      </c>
      <c r="G30">
        <v>1</v>
      </c>
      <c r="H30" t="s">
        <v>97</v>
      </c>
      <c r="I30" t="s">
        <v>19</v>
      </c>
      <c r="J30" t="s">
        <v>21</v>
      </c>
      <c r="K30">
        <v>1</v>
      </c>
      <c r="L30" t="s">
        <v>98</v>
      </c>
      <c r="M30" t="s">
        <v>19</v>
      </c>
      <c r="N30" t="s">
        <v>21</v>
      </c>
      <c r="O30">
        <v>1</v>
      </c>
      <c r="P30" t="s">
        <v>99</v>
      </c>
      <c r="Q30" t="s">
        <v>19</v>
      </c>
      <c r="R30" t="s">
        <v>15</v>
      </c>
      <c r="S30">
        <v>1</v>
      </c>
      <c r="T30" t="s">
        <v>100</v>
      </c>
      <c r="U30" t="s">
        <v>514</v>
      </c>
    </row>
    <row r="31" spans="1:21" x14ac:dyDescent="0.3">
      <c r="A31">
        <v>30</v>
      </c>
      <c r="B31" t="s">
        <v>95</v>
      </c>
      <c r="C31" t="s">
        <v>96</v>
      </c>
      <c r="D31" t="s">
        <v>62</v>
      </c>
      <c r="E31" t="s">
        <v>19</v>
      </c>
      <c r="F31" t="s">
        <v>15</v>
      </c>
      <c r="G31">
        <v>1</v>
      </c>
      <c r="H31" t="s">
        <v>97</v>
      </c>
      <c r="I31" t="s">
        <v>19</v>
      </c>
      <c r="J31" t="s">
        <v>21</v>
      </c>
      <c r="K31">
        <v>1</v>
      </c>
      <c r="L31" t="s">
        <v>98</v>
      </c>
      <c r="M31" t="s">
        <v>14</v>
      </c>
      <c r="N31" t="s">
        <v>21</v>
      </c>
      <c r="O31">
        <v>1</v>
      </c>
      <c r="P31" t="s">
        <v>99</v>
      </c>
      <c r="Q31" t="s">
        <v>14</v>
      </c>
      <c r="R31" t="s">
        <v>15</v>
      </c>
      <c r="S31">
        <v>1</v>
      </c>
      <c r="T31" t="s">
        <v>100</v>
      </c>
      <c r="U31" t="s">
        <v>515</v>
      </c>
    </row>
    <row r="32" spans="1:21" x14ac:dyDescent="0.3">
      <c r="A32">
        <v>31</v>
      </c>
      <c r="B32" t="s">
        <v>95</v>
      </c>
      <c r="C32" t="s">
        <v>101</v>
      </c>
      <c r="D32" t="s">
        <v>63</v>
      </c>
      <c r="E32" t="s">
        <v>14</v>
      </c>
      <c r="F32" t="s">
        <v>21</v>
      </c>
      <c r="G32">
        <v>1</v>
      </c>
      <c r="H32" t="s">
        <v>92</v>
      </c>
      <c r="I32" t="s">
        <v>14</v>
      </c>
      <c r="J32" t="s">
        <v>15</v>
      </c>
      <c r="K32">
        <v>2</v>
      </c>
      <c r="L32" t="s">
        <v>93</v>
      </c>
      <c r="M32" t="s">
        <v>14</v>
      </c>
      <c r="N32" t="s">
        <v>21</v>
      </c>
      <c r="O32">
        <v>1</v>
      </c>
      <c r="P32" t="s">
        <v>94</v>
      </c>
      <c r="U32" t="s">
        <v>516</v>
      </c>
    </row>
    <row r="33" spans="1:21" x14ac:dyDescent="0.3">
      <c r="A33">
        <v>32</v>
      </c>
      <c r="B33" t="s">
        <v>95</v>
      </c>
      <c r="C33" t="s">
        <v>101</v>
      </c>
      <c r="D33" t="s">
        <v>64</v>
      </c>
      <c r="E33" t="s">
        <v>19</v>
      </c>
      <c r="F33" t="s">
        <v>21</v>
      </c>
      <c r="G33">
        <v>1</v>
      </c>
      <c r="H33" t="s">
        <v>92</v>
      </c>
      <c r="I33" t="s">
        <v>19</v>
      </c>
      <c r="J33" t="s">
        <v>15</v>
      </c>
      <c r="K33">
        <v>2</v>
      </c>
      <c r="L33" t="s">
        <v>93</v>
      </c>
      <c r="M33" t="s">
        <v>19</v>
      </c>
      <c r="N33" t="s">
        <v>21</v>
      </c>
      <c r="O33">
        <v>1</v>
      </c>
      <c r="P33" t="s">
        <v>94</v>
      </c>
      <c r="U33" t="s">
        <v>517</v>
      </c>
    </row>
    <row r="34" spans="1:21" x14ac:dyDescent="0.3">
      <c r="A34">
        <v>33</v>
      </c>
      <c r="B34" t="s">
        <v>95</v>
      </c>
      <c r="C34" t="s">
        <v>101</v>
      </c>
      <c r="D34" t="s">
        <v>102</v>
      </c>
      <c r="E34" t="s">
        <v>19</v>
      </c>
      <c r="F34" t="s">
        <v>21</v>
      </c>
      <c r="G34">
        <v>1</v>
      </c>
      <c r="H34" t="s">
        <v>92</v>
      </c>
      <c r="I34" t="s">
        <v>19</v>
      </c>
      <c r="J34" t="s">
        <v>15</v>
      </c>
      <c r="K34">
        <v>1</v>
      </c>
      <c r="L34" t="s">
        <v>93</v>
      </c>
      <c r="M34" t="s">
        <v>14</v>
      </c>
      <c r="N34" t="s">
        <v>15</v>
      </c>
      <c r="O34">
        <v>1</v>
      </c>
      <c r="P34" t="s">
        <v>93</v>
      </c>
      <c r="Q34" t="s">
        <v>14</v>
      </c>
      <c r="R34" t="s">
        <v>21</v>
      </c>
      <c r="S34">
        <v>1</v>
      </c>
      <c r="T34" t="s">
        <v>94</v>
      </c>
      <c r="U34" t="s">
        <v>518</v>
      </c>
    </row>
    <row r="35" spans="1:21" x14ac:dyDescent="0.3">
      <c r="A35">
        <v>34</v>
      </c>
      <c r="B35" t="s">
        <v>95</v>
      </c>
      <c r="C35" t="s">
        <v>101</v>
      </c>
      <c r="D35" t="s">
        <v>65</v>
      </c>
      <c r="E35" t="s">
        <v>14</v>
      </c>
      <c r="F35" t="s">
        <v>21</v>
      </c>
      <c r="G35">
        <v>1</v>
      </c>
      <c r="H35" t="s">
        <v>97</v>
      </c>
      <c r="I35" t="s">
        <v>14</v>
      </c>
      <c r="J35" t="s">
        <v>15</v>
      </c>
      <c r="K35">
        <v>1</v>
      </c>
      <c r="L35" t="s">
        <v>98</v>
      </c>
      <c r="M35" t="s">
        <v>14</v>
      </c>
      <c r="N35" t="s">
        <v>15</v>
      </c>
      <c r="O35">
        <v>1</v>
      </c>
      <c r="P35" t="s">
        <v>99</v>
      </c>
      <c r="Q35" t="s">
        <v>14</v>
      </c>
      <c r="R35" t="s">
        <v>21</v>
      </c>
      <c r="S35">
        <v>1</v>
      </c>
      <c r="T35" t="s">
        <v>100</v>
      </c>
      <c r="U35" t="s">
        <v>519</v>
      </c>
    </row>
    <row r="36" spans="1:21" x14ac:dyDescent="0.3">
      <c r="A36">
        <v>35</v>
      </c>
      <c r="B36" t="s">
        <v>95</v>
      </c>
      <c r="C36" t="s">
        <v>101</v>
      </c>
      <c r="D36" t="s">
        <v>66</v>
      </c>
      <c r="E36" t="s">
        <v>19</v>
      </c>
      <c r="F36" t="s">
        <v>21</v>
      </c>
      <c r="G36">
        <v>1</v>
      </c>
      <c r="H36" t="s">
        <v>97</v>
      </c>
      <c r="I36" t="s">
        <v>19</v>
      </c>
      <c r="J36" t="s">
        <v>15</v>
      </c>
      <c r="K36">
        <v>1</v>
      </c>
      <c r="L36" t="s">
        <v>98</v>
      </c>
      <c r="M36" t="s">
        <v>19</v>
      </c>
      <c r="N36" t="s">
        <v>15</v>
      </c>
      <c r="O36">
        <v>1</v>
      </c>
      <c r="P36" t="s">
        <v>99</v>
      </c>
      <c r="Q36" t="s">
        <v>19</v>
      </c>
      <c r="R36" t="s">
        <v>21</v>
      </c>
      <c r="S36">
        <v>1</v>
      </c>
      <c r="T36" t="s">
        <v>100</v>
      </c>
      <c r="U36" t="s">
        <v>520</v>
      </c>
    </row>
    <row r="37" spans="1:21" x14ac:dyDescent="0.3">
      <c r="A37">
        <v>36</v>
      </c>
      <c r="B37" t="s">
        <v>95</v>
      </c>
      <c r="C37" t="s">
        <v>101</v>
      </c>
      <c r="D37" t="s">
        <v>103</v>
      </c>
      <c r="E37" t="s">
        <v>19</v>
      </c>
      <c r="F37" t="s">
        <v>21</v>
      </c>
      <c r="G37">
        <v>1</v>
      </c>
      <c r="H37" t="s">
        <v>97</v>
      </c>
      <c r="I37" t="s">
        <v>19</v>
      </c>
      <c r="J37" t="s">
        <v>15</v>
      </c>
      <c r="K37">
        <v>1</v>
      </c>
      <c r="L37" t="s">
        <v>98</v>
      </c>
      <c r="M37" t="s">
        <v>14</v>
      </c>
      <c r="N37" t="s">
        <v>15</v>
      </c>
      <c r="O37">
        <v>1</v>
      </c>
      <c r="P37" t="s">
        <v>99</v>
      </c>
      <c r="Q37" t="s">
        <v>14</v>
      </c>
      <c r="R37" t="s">
        <v>21</v>
      </c>
      <c r="S37">
        <v>1</v>
      </c>
      <c r="T37" t="s">
        <v>100</v>
      </c>
      <c r="U37" t="s">
        <v>521</v>
      </c>
    </row>
    <row r="38" spans="1:21" x14ac:dyDescent="0.3">
      <c r="A38">
        <v>37</v>
      </c>
      <c r="B38" t="s">
        <v>104</v>
      </c>
      <c r="C38" t="s">
        <v>101</v>
      </c>
      <c r="D38" t="s">
        <v>67</v>
      </c>
      <c r="E38" t="s">
        <v>19</v>
      </c>
      <c r="F38" t="s">
        <v>15</v>
      </c>
      <c r="G38">
        <v>1</v>
      </c>
      <c r="H38" t="s">
        <v>105</v>
      </c>
      <c r="I38" t="s">
        <v>14</v>
      </c>
      <c r="J38" t="s">
        <v>15</v>
      </c>
      <c r="K38">
        <v>1</v>
      </c>
      <c r="L38" t="s">
        <v>105</v>
      </c>
      <c r="U38" t="s">
        <v>522</v>
      </c>
    </row>
    <row r="39" spans="1:21" x14ac:dyDescent="0.3">
      <c r="A39">
        <v>38</v>
      </c>
      <c r="B39" t="s">
        <v>104</v>
      </c>
      <c r="C39" t="s">
        <v>96</v>
      </c>
      <c r="D39" t="s">
        <v>68</v>
      </c>
      <c r="E39" t="s">
        <v>19</v>
      </c>
      <c r="F39" t="s">
        <v>21</v>
      </c>
      <c r="G39">
        <v>1</v>
      </c>
      <c r="H39" t="s">
        <v>105</v>
      </c>
      <c r="I39" t="s">
        <v>14</v>
      </c>
      <c r="J39" t="s">
        <v>21</v>
      </c>
      <c r="K39">
        <v>1</v>
      </c>
      <c r="L39" t="s">
        <v>105</v>
      </c>
      <c r="U39" t="s">
        <v>523</v>
      </c>
    </row>
    <row r="40" spans="1:21" x14ac:dyDescent="0.3">
      <c r="A40">
        <v>39</v>
      </c>
      <c r="B40" t="s">
        <v>104</v>
      </c>
      <c r="C40" t="s">
        <v>101</v>
      </c>
      <c r="D40" t="s">
        <v>69</v>
      </c>
      <c r="E40" t="s">
        <v>19</v>
      </c>
      <c r="F40" t="s">
        <v>15</v>
      </c>
      <c r="G40">
        <v>1</v>
      </c>
      <c r="H40" t="s">
        <v>91</v>
      </c>
      <c r="I40" t="s">
        <v>14</v>
      </c>
      <c r="J40" t="s">
        <v>15</v>
      </c>
      <c r="K40">
        <v>1</v>
      </c>
      <c r="L40" t="s">
        <v>90</v>
      </c>
      <c r="U40" t="s">
        <v>524</v>
      </c>
    </row>
    <row r="41" spans="1:21" x14ac:dyDescent="0.3">
      <c r="A41">
        <v>40</v>
      </c>
      <c r="B41" t="s">
        <v>104</v>
      </c>
      <c r="C41" t="s">
        <v>96</v>
      </c>
      <c r="D41" t="s">
        <v>70</v>
      </c>
      <c r="E41" t="s">
        <v>19</v>
      </c>
      <c r="F41" t="s">
        <v>21</v>
      </c>
      <c r="G41">
        <v>1</v>
      </c>
      <c r="H41" t="s">
        <v>91</v>
      </c>
      <c r="I41" t="s">
        <v>14</v>
      </c>
      <c r="J41" t="s">
        <v>21</v>
      </c>
      <c r="K41">
        <v>1</v>
      </c>
      <c r="L41" t="s">
        <v>90</v>
      </c>
      <c r="U41" t="s">
        <v>525</v>
      </c>
    </row>
    <row r="42" spans="1:21" x14ac:dyDescent="0.3">
      <c r="A42">
        <v>41</v>
      </c>
      <c r="B42" t="s">
        <v>104</v>
      </c>
      <c r="C42" t="s">
        <v>101</v>
      </c>
      <c r="D42" t="s">
        <v>71</v>
      </c>
      <c r="E42" t="s">
        <v>14</v>
      </c>
      <c r="F42" t="s">
        <v>15</v>
      </c>
      <c r="G42">
        <v>1</v>
      </c>
      <c r="H42" t="s">
        <v>91</v>
      </c>
      <c r="I42" t="s">
        <v>19</v>
      </c>
      <c r="J42" t="s">
        <v>15</v>
      </c>
      <c r="K42">
        <v>1</v>
      </c>
      <c r="L42" t="s">
        <v>90</v>
      </c>
      <c r="U42" t="s">
        <v>526</v>
      </c>
    </row>
    <row r="43" spans="1:21" x14ac:dyDescent="0.3">
      <c r="A43">
        <v>42</v>
      </c>
      <c r="B43" t="s">
        <v>104</v>
      </c>
      <c r="C43" t="s">
        <v>96</v>
      </c>
      <c r="D43" t="s">
        <v>72</v>
      </c>
      <c r="E43" t="s">
        <v>14</v>
      </c>
      <c r="F43" t="s">
        <v>21</v>
      </c>
      <c r="G43">
        <v>1</v>
      </c>
      <c r="H43" t="s">
        <v>91</v>
      </c>
      <c r="I43" t="s">
        <v>19</v>
      </c>
      <c r="J43" t="s">
        <v>21</v>
      </c>
      <c r="K43">
        <v>1</v>
      </c>
      <c r="L43" t="s">
        <v>90</v>
      </c>
      <c r="U43" t="s">
        <v>527</v>
      </c>
    </row>
    <row r="44" spans="1:21" x14ac:dyDescent="0.3">
      <c r="A44">
        <v>43</v>
      </c>
      <c r="B44" t="s">
        <v>104</v>
      </c>
      <c r="C44" t="s">
        <v>106</v>
      </c>
      <c r="D44" t="s">
        <v>73</v>
      </c>
      <c r="E44" t="s">
        <v>19</v>
      </c>
      <c r="F44" t="s">
        <v>15</v>
      </c>
      <c r="G44">
        <v>2</v>
      </c>
      <c r="H44" t="s">
        <v>105</v>
      </c>
      <c r="I44" t="s">
        <v>14</v>
      </c>
      <c r="J44" t="s">
        <v>15</v>
      </c>
      <c r="K44">
        <v>1</v>
      </c>
      <c r="L44" t="s">
        <v>105</v>
      </c>
      <c r="U44" t="s">
        <v>528</v>
      </c>
    </row>
    <row r="45" spans="1:21" x14ac:dyDescent="0.3">
      <c r="A45">
        <v>44</v>
      </c>
      <c r="B45" t="s">
        <v>104</v>
      </c>
      <c r="C45" t="s">
        <v>107</v>
      </c>
      <c r="D45" t="s">
        <v>74</v>
      </c>
      <c r="E45" t="s">
        <v>19</v>
      </c>
      <c r="F45" t="s">
        <v>15</v>
      </c>
      <c r="G45">
        <v>1</v>
      </c>
      <c r="H45" t="s">
        <v>105</v>
      </c>
      <c r="I45" t="s">
        <v>14</v>
      </c>
      <c r="J45" t="s">
        <v>15</v>
      </c>
      <c r="K45">
        <v>2</v>
      </c>
      <c r="L45" t="s">
        <v>105</v>
      </c>
      <c r="U45" t="s">
        <v>529</v>
      </c>
    </row>
    <row r="46" spans="1:21" x14ac:dyDescent="0.3">
      <c r="A46">
        <v>45</v>
      </c>
      <c r="B46" t="s">
        <v>104</v>
      </c>
      <c r="C46" t="s">
        <v>12</v>
      </c>
      <c r="D46" t="s">
        <v>75</v>
      </c>
      <c r="E46" t="s">
        <v>35</v>
      </c>
      <c r="F46" t="s">
        <v>15</v>
      </c>
      <c r="G46">
        <v>1</v>
      </c>
      <c r="H46" t="s">
        <v>89</v>
      </c>
      <c r="I46" t="s">
        <v>19</v>
      </c>
      <c r="J46" t="s">
        <v>21</v>
      </c>
      <c r="K46">
        <v>1</v>
      </c>
      <c r="L46" t="s">
        <v>105</v>
      </c>
      <c r="M46" t="s">
        <v>14</v>
      </c>
      <c r="N46" t="s">
        <v>21</v>
      </c>
      <c r="O46">
        <v>1</v>
      </c>
      <c r="P46" t="s">
        <v>105</v>
      </c>
      <c r="U46" t="s">
        <v>530</v>
      </c>
    </row>
    <row r="47" spans="1:21" x14ac:dyDescent="0.3">
      <c r="A47">
        <v>46</v>
      </c>
      <c r="B47" t="s">
        <v>104</v>
      </c>
      <c r="C47" t="s">
        <v>12</v>
      </c>
      <c r="D47" t="s">
        <v>76</v>
      </c>
      <c r="E47" t="s">
        <v>35</v>
      </c>
      <c r="F47" t="s">
        <v>15</v>
      </c>
      <c r="G47">
        <v>1</v>
      </c>
      <c r="H47" t="s">
        <v>89</v>
      </c>
      <c r="I47" t="s">
        <v>19</v>
      </c>
      <c r="J47" t="s">
        <v>21</v>
      </c>
      <c r="K47">
        <v>1</v>
      </c>
      <c r="L47" t="s">
        <v>91</v>
      </c>
      <c r="M47" t="s">
        <v>14</v>
      </c>
      <c r="N47" t="s">
        <v>21</v>
      </c>
      <c r="O47">
        <v>1</v>
      </c>
      <c r="P47" t="s">
        <v>90</v>
      </c>
      <c r="U47" t="s">
        <v>531</v>
      </c>
    </row>
    <row r="48" spans="1:21" x14ac:dyDescent="0.3">
      <c r="A48">
        <v>47</v>
      </c>
      <c r="B48" t="s">
        <v>77</v>
      </c>
      <c r="C48" t="s">
        <v>23</v>
      </c>
      <c r="D48" t="s">
        <v>78</v>
      </c>
      <c r="E48" t="s">
        <v>14</v>
      </c>
      <c r="F48" t="s">
        <v>15</v>
      </c>
      <c r="G48">
        <v>1</v>
      </c>
      <c r="H48" t="s">
        <v>91</v>
      </c>
      <c r="I48" t="s">
        <v>14</v>
      </c>
      <c r="J48" t="s">
        <v>21</v>
      </c>
      <c r="K48">
        <v>1</v>
      </c>
      <c r="L48" t="s">
        <v>90</v>
      </c>
      <c r="M48" t="s">
        <v>19</v>
      </c>
      <c r="N48" t="s">
        <v>15</v>
      </c>
      <c r="O48">
        <v>1</v>
      </c>
      <c r="P48" t="s">
        <v>90</v>
      </c>
      <c r="Q48" t="s">
        <v>19</v>
      </c>
      <c r="R48" t="s">
        <v>21</v>
      </c>
      <c r="S48">
        <v>1</v>
      </c>
      <c r="T48" t="s">
        <v>91</v>
      </c>
      <c r="U48" t="s">
        <v>532</v>
      </c>
    </row>
    <row r="49" spans="1:21" x14ac:dyDescent="0.3">
      <c r="A49">
        <v>48</v>
      </c>
      <c r="B49" t="s">
        <v>77</v>
      </c>
      <c r="C49" t="s">
        <v>23</v>
      </c>
      <c r="D49" t="s">
        <v>79</v>
      </c>
      <c r="E49" t="s">
        <v>14</v>
      </c>
      <c r="F49" t="s">
        <v>21</v>
      </c>
      <c r="G49">
        <v>1</v>
      </c>
      <c r="H49" t="s">
        <v>91</v>
      </c>
      <c r="I49" t="s">
        <v>14</v>
      </c>
      <c r="J49" t="s">
        <v>15</v>
      </c>
      <c r="K49">
        <v>1</v>
      </c>
      <c r="L49" t="s">
        <v>90</v>
      </c>
      <c r="M49" t="s">
        <v>19</v>
      </c>
      <c r="N49" t="s">
        <v>21</v>
      </c>
      <c r="O49">
        <v>1</v>
      </c>
      <c r="P49" t="s">
        <v>90</v>
      </c>
      <c r="Q49" t="s">
        <v>19</v>
      </c>
      <c r="R49" t="s">
        <v>15</v>
      </c>
      <c r="S49">
        <v>1</v>
      </c>
      <c r="T49" t="s">
        <v>91</v>
      </c>
      <c r="U49" t="s">
        <v>533</v>
      </c>
    </row>
    <row r="50" spans="1:21" x14ac:dyDescent="0.3">
      <c r="A50">
        <v>49</v>
      </c>
      <c r="B50" t="s">
        <v>80</v>
      </c>
      <c r="C50" t="s">
        <v>12</v>
      </c>
      <c r="D50" t="s">
        <v>81</v>
      </c>
      <c r="E50" t="s">
        <v>19</v>
      </c>
      <c r="F50" t="s">
        <v>21</v>
      </c>
      <c r="G50">
        <v>1</v>
      </c>
      <c r="H50" t="s">
        <v>105</v>
      </c>
      <c r="I50" t="s">
        <v>14</v>
      </c>
      <c r="J50" t="s">
        <v>15</v>
      </c>
      <c r="K50">
        <v>1</v>
      </c>
      <c r="L50" t="s">
        <v>105</v>
      </c>
      <c r="U50" t="s">
        <v>534</v>
      </c>
    </row>
    <row r="51" spans="1:21" x14ac:dyDescent="0.3">
      <c r="A51">
        <v>50</v>
      </c>
      <c r="B51" t="s">
        <v>80</v>
      </c>
      <c r="C51" t="s">
        <v>17</v>
      </c>
      <c r="D51" t="s">
        <v>82</v>
      </c>
      <c r="E51" t="s">
        <v>19</v>
      </c>
      <c r="F51" t="s">
        <v>15</v>
      </c>
      <c r="G51">
        <v>1</v>
      </c>
      <c r="H51" t="s">
        <v>105</v>
      </c>
      <c r="I51" t="s">
        <v>14</v>
      </c>
      <c r="J51" t="s">
        <v>21</v>
      </c>
      <c r="K51">
        <v>1</v>
      </c>
      <c r="L51" t="s">
        <v>105</v>
      </c>
      <c r="U51" t="s">
        <v>535</v>
      </c>
    </row>
    <row r="52" spans="1:21" x14ac:dyDescent="0.3">
      <c r="A52">
        <v>51</v>
      </c>
      <c r="B52" t="s">
        <v>80</v>
      </c>
      <c r="C52" t="s">
        <v>12</v>
      </c>
      <c r="D52" t="s">
        <v>83</v>
      </c>
      <c r="E52" t="s">
        <v>19</v>
      </c>
      <c r="F52" t="s">
        <v>21</v>
      </c>
      <c r="G52">
        <v>1</v>
      </c>
      <c r="H52" t="s">
        <v>91</v>
      </c>
      <c r="I52" t="s">
        <v>14</v>
      </c>
      <c r="J52" t="s">
        <v>15</v>
      </c>
      <c r="K52">
        <v>1</v>
      </c>
      <c r="L52" t="s">
        <v>90</v>
      </c>
      <c r="U52" t="s">
        <v>536</v>
      </c>
    </row>
    <row r="53" spans="1:21" x14ac:dyDescent="0.3">
      <c r="A53">
        <v>52</v>
      </c>
      <c r="B53" t="s">
        <v>80</v>
      </c>
      <c r="C53" t="s">
        <v>17</v>
      </c>
      <c r="D53" t="s">
        <v>84</v>
      </c>
      <c r="E53" t="s">
        <v>19</v>
      </c>
      <c r="F53" t="s">
        <v>15</v>
      </c>
      <c r="G53">
        <v>1</v>
      </c>
      <c r="H53" t="s">
        <v>91</v>
      </c>
      <c r="I53" t="s">
        <v>14</v>
      </c>
      <c r="J53" t="s">
        <v>21</v>
      </c>
      <c r="K53">
        <v>1</v>
      </c>
      <c r="L53" t="s">
        <v>90</v>
      </c>
      <c r="U53" t="s">
        <v>537</v>
      </c>
    </row>
    <row r="54" spans="1:21" x14ac:dyDescent="0.3">
      <c r="A54">
        <v>53</v>
      </c>
      <c r="B54" t="s">
        <v>80</v>
      </c>
      <c r="C54" t="s">
        <v>101</v>
      </c>
      <c r="D54" t="s">
        <v>108</v>
      </c>
      <c r="E54" t="s">
        <v>35</v>
      </c>
      <c r="F54" t="s">
        <v>21</v>
      </c>
      <c r="G54">
        <v>1</v>
      </c>
      <c r="H54" t="s">
        <v>89</v>
      </c>
      <c r="I54" t="s">
        <v>14</v>
      </c>
      <c r="J54" t="s">
        <v>15</v>
      </c>
      <c r="K54">
        <v>2</v>
      </c>
      <c r="L54" t="s">
        <v>105</v>
      </c>
      <c r="U54" t="s">
        <v>538</v>
      </c>
    </row>
    <row r="55" spans="1:21" x14ac:dyDescent="0.3">
      <c r="A55">
        <v>54</v>
      </c>
      <c r="B55" t="s">
        <v>80</v>
      </c>
      <c r="C55" t="s">
        <v>101</v>
      </c>
      <c r="D55" t="s">
        <v>109</v>
      </c>
      <c r="E55" t="s">
        <v>35</v>
      </c>
      <c r="F55" t="s">
        <v>15</v>
      </c>
      <c r="G55">
        <v>1</v>
      </c>
      <c r="H55" t="s">
        <v>89</v>
      </c>
      <c r="I55" t="s">
        <v>19</v>
      </c>
      <c r="J55" t="s">
        <v>15</v>
      </c>
      <c r="K55">
        <v>2</v>
      </c>
      <c r="L55" t="s">
        <v>105</v>
      </c>
      <c r="U55" t="s">
        <v>539</v>
      </c>
    </row>
    <row r="56" spans="1:21" x14ac:dyDescent="0.3">
      <c r="A56">
        <v>55</v>
      </c>
      <c r="B56" t="s">
        <v>80</v>
      </c>
      <c r="C56" t="s">
        <v>96</v>
      </c>
      <c r="D56" t="s">
        <v>110</v>
      </c>
      <c r="E56" t="s">
        <v>35</v>
      </c>
      <c r="F56" t="s">
        <v>15</v>
      </c>
      <c r="G56">
        <v>1</v>
      </c>
      <c r="H56" t="s">
        <v>89</v>
      </c>
      <c r="I56" t="s">
        <v>14</v>
      </c>
      <c r="J56" t="s">
        <v>21</v>
      </c>
      <c r="K56">
        <v>2</v>
      </c>
      <c r="L56" t="s">
        <v>105</v>
      </c>
      <c r="U56" t="s">
        <v>540</v>
      </c>
    </row>
    <row r="57" spans="1:21" x14ac:dyDescent="0.3">
      <c r="A57">
        <v>56</v>
      </c>
      <c r="B57" t="s">
        <v>80</v>
      </c>
      <c r="C57" t="s">
        <v>96</v>
      </c>
      <c r="D57" t="s">
        <v>111</v>
      </c>
      <c r="E57" t="s">
        <v>35</v>
      </c>
      <c r="F57" t="s">
        <v>21</v>
      </c>
      <c r="G57">
        <v>1</v>
      </c>
      <c r="H57" t="s">
        <v>89</v>
      </c>
      <c r="I57" t="s">
        <v>19</v>
      </c>
      <c r="J57" t="s">
        <v>21</v>
      </c>
      <c r="K57">
        <v>2</v>
      </c>
      <c r="L57" t="s">
        <v>105</v>
      </c>
      <c r="U57" t="s">
        <v>541</v>
      </c>
    </row>
    <row r="58" spans="1:21" x14ac:dyDescent="0.3">
      <c r="A58">
        <v>57</v>
      </c>
      <c r="B58" t="s">
        <v>80</v>
      </c>
      <c r="C58" t="s">
        <v>101</v>
      </c>
      <c r="D58" t="s">
        <v>112</v>
      </c>
      <c r="E58" t="s">
        <v>35</v>
      </c>
      <c r="F58" t="s">
        <v>21</v>
      </c>
      <c r="G58">
        <v>1</v>
      </c>
      <c r="H58" t="s">
        <v>89</v>
      </c>
      <c r="I58" t="s">
        <v>14</v>
      </c>
      <c r="J58" t="s">
        <v>15</v>
      </c>
      <c r="K58">
        <v>1</v>
      </c>
      <c r="L58" t="s">
        <v>91</v>
      </c>
      <c r="M58" t="s">
        <v>14</v>
      </c>
      <c r="N58" t="s">
        <v>15</v>
      </c>
      <c r="O58">
        <v>1</v>
      </c>
      <c r="P58" t="s">
        <v>90</v>
      </c>
      <c r="U58" t="s">
        <v>542</v>
      </c>
    </row>
    <row r="59" spans="1:21" x14ac:dyDescent="0.3">
      <c r="A59">
        <v>58</v>
      </c>
      <c r="B59" t="s">
        <v>80</v>
      </c>
      <c r="C59" t="s">
        <v>101</v>
      </c>
      <c r="D59" t="s">
        <v>113</v>
      </c>
      <c r="E59" t="s">
        <v>35</v>
      </c>
      <c r="F59" t="s">
        <v>15</v>
      </c>
      <c r="G59">
        <v>1</v>
      </c>
      <c r="H59" t="s">
        <v>89</v>
      </c>
      <c r="I59" t="s">
        <v>19</v>
      </c>
      <c r="J59" t="s">
        <v>15</v>
      </c>
      <c r="K59">
        <v>1</v>
      </c>
      <c r="L59" t="s">
        <v>91</v>
      </c>
      <c r="M59" t="s">
        <v>19</v>
      </c>
      <c r="N59" t="s">
        <v>15</v>
      </c>
      <c r="O59">
        <v>1</v>
      </c>
      <c r="P59" t="s">
        <v>90</v>
      </c>
      <c r="U59" t="s">
        <v>543</v>
      </c>
    </row>
    <row r="60" spans="1:21" x14ac:dyDescent="0.3">
      <c r="A60">
        <v>59</v>
      </c>
      <c r="B60" t="s">
        <v>80</v>
      </c>
      <c r="C60" t="s">
        <v>96</v>
      </c>
      <c r="D60" t="s">
        <v>114</v>
      </c>
      <c r="E60" t="s">
        <v>35</v>
      </c>
      <c r="F60" t="s">
        <v>15</v>
      </c>
      <c r="G60">
        <v>1</v>
      </c>
      <c r="H60" t="s">
        <v>89</v>
      </c>
      <c r="I60" t="s">
        <v>14</v>
      </c>
      <c r="J60" t="s">
        <v>21</v>
      </c>
      <c r="K60">
        <v>1</v>
      </c>
      <c r="L60" t="s">
        <v>91</v>
      </c>
      <c r="M60" t="s">
        <v>14</v>
      </c>
      <c r="N60" t="s">
        <v>21</v>
      </c>
      <c r="O60">
        <v>1</v>
      </c>
      <c r="P60" t="s">
        <v>90</v>
      </c>
      <c r="U60" t="s">
        <v>544</v>
      </c>
    </row>
    <row r="61" spans="1:21" x14ac:dyDescent="0.3">
      <c r="A61">
        <v>60</v>
      </c>
      <c r="B61" t="s">
        <v>80</v>
      </c>
      <c r="C61" t="s">
        <v>96</v>
      </c>
      <c r="D61" t="s">
        <v>115</v>
      </c>
      <c r="E61" t="s">
        <v>35</v>
      </c>
      <c r="F61" t="s">
        <v>21</v>
      </c>
      <c r="G61">
        <v>1</v>
      </c>
      <c r="H61" t="s">
        <v>89</v>
      </c>
      <c r="I61" t="s">
        <v>19</v>
      </c>
      <c r="J61" t="s">
        <v>21</v>
      </c>
      <c r="K61">
        <v>1</v>
      </c>
      <c r="L61" t="s">
        <v>91</v>
      </c>
      <c r="M61" t="s">
        <v>19</v>
      </c>
      <c r="N61" t="s">
        <v>21</v>
      </c>
      <c r="O61">
        <v>1</v>
      </c>
      <c r="P61" t="s">
        <v>90</v>
      </c>
      <c r="U61" t="s">
        <v>545</v>
      </c>
    </row>
    <row r="62" spans="1:21" x14ac:dyDescent="0.3">
      <c r="A62">
        <v>61</v>
      </c>
      <c r="B62" t="s">
        <v>80</v>
      </c>
      <c r="C62" t="s">
        <v>12</v>
      </c>
      <c r="D62" t="s">
        <v>116</v>
      </c>
      <c r="E62" t="s">
        <v>19</v>
      </c>
      <c r="F62" t="s">
        <v>21</v>
      </c>
      <c r="G62">
        <v>1</v>
      </c>
      <c r="H62" t="s">
        <v>90</v>
      </c>
      <c r="U62" t="s">
        <v>546</v>
      </c>
    </row>
    <row r="63" spans="1:21" x14ac:dyDescent="0.3">
      <c r="A63">
        <v>62</v>
      </c>
      <c r="B63" t="s">
        <v>80</v>
      </c>
      <c r="C63" t="s">
        <v>17</v>
      </c>
      <c r="D63" t="s">
        <v>117</v>
      </c>
      <c r="E63" t="s">
        <v>14</v>
      </c>
      <c r="F63" t="s">
        <v>21</v>
      </c>
      <c r="G63">
        <v>1</v>
      </c>
      <c r="H63" t="s">
        <v>91</v>
      </c>
      <c r="U63" t="s">
        <v>547</v>
      </c>
    </row>
    <row r="64" spans="1:21" x14ac:dyDescent="0.3">
      <c r="A64">
        <v>63</v>
      </c>
      <c r="B64" t="s">
        <v>118</v>
      </c>
      <c r="C64" t="s">
        <v>23</v>
      </c>
      <c r="D64" t="s">
        <v>119</v>
      </c>
      <c r="E64" t="s">
        <v>35</v>
      </c>
      <c r="F64" t="s">
        <v>15</v>
      </c>
      <c r="G64">
        <v>1</v>
      </c>
      <c r="H64" t="s">
        <v>89</v>
      </c>
      <c r="I64" t="s">
        <v>19</v>
      </c>
      <c r="J64" t="s">
        <v>15</v>
      </c>
      <c r="K64">
        <v>1</v>
      </c>
      <c r="L64" t="s">
        <v>105</v>
      </c>
      <c r="M64" t="s">
        <v>14</v>
      </c>
      <c r="N64" t="s">
        <v>21</v>
      </c>
      <c r="O64">
        <v>1</v>
      </c>
      <c r="P64" t="s">
        <v>105</v>
      </c>
      <c r="U64" t="s">
        <v>548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D0E0E-C04A-41B1-9619-BD3A4ABFB7D2}">
  <sheetPr codeName="Sheet7"/>
  <dimension ref="A1:G158"/>
  <sheetViews>
    <sheetView topLeftCell="A25" workbookViewId="0">
      <selection activeCell="E32" sqref="E32"/>
    </sheetView>
  </sheetViews>
  <sheetFormatPr defaultRowHeight="14.4" x14ac:dyDescent="0.3"/>
  <cols>
    <col min="1" max="1" width="14" bestFit="1" customWidth="1"/>
  </cols>
  <sheetData>
    <row r="1" spans="1:7" x14ac:dyDescent="0.3">
      <c r="A1" s="1" t="s">
        <v>157</v>
      </c>
      <c r="B1" s="1" t="s">
        <v>168</v>
      </c>
      <c r="C1" s="1" t="s">
        <v>122</v>
      </c>
      <c r="D1" s="1" t="s">
        <v>169</v>
      </c>
      <c r="G1" s="1" t="s">
        <v>184</v>
      </c>
    </row>
    <row r="2" spans="1:7" x14ac:dyDescent="0.3">
      <c r="A2" s="4">
        <v>46024</v>
      </c>
      <c r="B2" t="s">
        <v>170</v>
      </c>
      <c r="C2" t="s">
        <v>171</v>
      </c>
      <c r="G2" t="s">
        <v>172</v>
      </c>
    </row>
    <row r="3" spans="1:7" x14ac:dyDescent="0.3">
      <c r="A3" s="4">
        <v>46031</v>
      </c>
      <c r="B3" t="s">
        <v>170</v>
      </c>
      <c r="C3" t="s">
        <v>171</v>
      </c>
      <c r="G3" t="s">
        <v>171</v>
      </c>
    </row>
    <row r="4" spans="1:7" x14ac:dyDescent="0.3">
      <c r="A4" s="4">
        <v>46038</v>
      </c>
      <c r="B4" t="s">
        <v>170</v>
      </c>
      <c r="C4" t="s">
        <v>172</v>
      </c>
      <c r="G4" t="s">
        <v>131</v>
      </c>
    </row>
    <row r="5" spans="1:7" x14ac:dyDescent="0.3">
      <c r="A5" s="4">
        <v>46045</v>
      </c>
      <c r="B5" t="s">
        <v>170</v>
      </c>
      <c r="C5" t="s">
        <v>171</v>
      </c>
    </row>
    <row r="6" spans="1:7" x14ac:dyDescent="0.3">
      <c r="A6" s="4">
        <v>46052</v>
      </c>
      <c r="B6" t="s">
        <v>170</v>
      </c>
      <c r="C6" t="s">
        <v>171</v>
      </c>
    </row>
    <row r="7" spans="1:7" x14ac:dyDescent="0.3">
      <c r="A7" s="4">
        <v>46059</v>
      </c>
      <c r="B7" t="s">
        <v>170</v>
      </c>
      <c r="C7" t="s">
        <v>171</v>
      </c>
    </row>
    <row r="8" spans="1:7" x14ac:dyDescent="0.3">
      <c r="A8" s="4">
        <v>46066</v>
      </c>
      <c r="B8" t="s">
        <v>170</v>
      </c>
      <c r="C8" t="s">
        <v>171</v>
      </c>
    </row>
    <row r="9" spans="1:7" x14ac:dyDescent="0.3">
      <c r="A9" s="4">
        <v>46073</v>
      </c>
      <c r="B9" t="s">
        <v>170</v>
      </c>
      <c r="C9" t="s">
        <v>172</v>
      </c>
    </row>
    <row r="10" spans="1:7" x14ac:dyDescent="0.3">
      <c r="A10" s="4">
        <v>46080</v>
      </c>
      <c r="B10" t="s">
        <v>170</v>
      </c>
      <c r="C10" t="s">
        <v>171</v>
      </c>
    </row>
    <row r="11" spans="1:7" x14ac:dyDescent="0.3">
      <c r="A11" s="4">
        <v>46087</v>
      </c>
      <c r="B11" t="s">
        <v>170</v>
      </c>
      <c r="C11" t="s">
        <v>171</v>
      </c>
    </row>
    <row r="12" spans="1:7" x14ac:dyDescent="0.3">
      <c r="A12" s="4">
        <v>46094</v>
      </c>
      <c r="B12" t="s">
        <v>170</v>
      </c>
      <c r="C12" t="s">
        <v>171</v>
      </c>
    </row>
    <row r="13" spans="1:7" x14ac:dyDescent="0.3">
      <c r="A13" s="4">
        <v>46101</v>
      </c>
      <c r="B13" t="s">
        <v>170</v>
      </c>
      <c r="C13" t="s">
        <v>172</v>
      </c>
    </row>
    <row r="14" spans="1:7" x14ac:dyDescent="0.3">
      <c r="A14" s="4">
        <v>46108</v>
      </c>
      <c r="B14" t="s">
        <v>170</v>
      </c>
      <c r="C14" t="s">
        <v>171</v>
      </c>
    </row>
    <row r="15" spans="1:7" x14ac:dyDescent="0.3">
      <c r="A15" s="4">
        <v>46114</v>
      </c>
      <c r="B15" t="s">
        <v>173</v>
      </c>
      <c r="C15" t="s">
        <v>171</v>
      </c>
      <c r="D15" t="s">
        <v>174</v>
      </c>
    </row>
    <row r="16" spans="1:7" x14ac:dyDescent="0.3">
      <c r="A16" s="4">
        <v>46122</v>
      </c>
      <c r="B16" t="s">
        <v>170</v>
      </c>
      <c r="C16" t="s">
        <v>171</v>
      </c>
    </row>
    <row r="17" spans="1:4" x14ac:dyDescent="0.3">
      <c r="A17" s="4">
        <v>46129</v>
      </c>
      <c r="B17" t="s">
        <v>170</v>
      </c>
      <c r="C17" t="s">
        <v>172</v>
      </c>
    </row>
    <row r="18" spans="1:4" x14ac:dyDescent="0.3">
      <c r="A18" s="4">
        <v>46136</v>
      </c>
      <c r="B18" t="s">
        <v>170</v>
      </c>
      <c r="C18" t="s">
        <v>171</v>
      </c>
    </row>
    <row r="19" spans="1:4" x14ac:dyDescent="0.3">
      <c r="A19" s="4">
        <v>46143</v>
      </c>
      <c r="B19" t="s">
        <v>170</v>
      </c>
      <c r="C19" t="s">
        <v>171</v>
      </c>
    </row>
    <row r="20" spans="1:4" x14ac:dyDescent="0.3">
      <c r="A20" s="4">
        <v>46150</v>
      </c>
      <c r="B20" t="s">
        <v>170</v>
      </c>
      <c r="C20" t="s">
        <v>171</v>
      </c>
    </row>
    <row r="21" spans="1:4" x14ac:dyDescent="0.3">
      <c r="A21" s="4">
        <v>46157</v>
      </c>
      <c r="B21" t="s">
        <v>170</v>
      </c>
      <c r="C21" t="s">
        <v>172</v>
      </c>
    </row>
    <row r="22" spans="1:4" x14ac:dyDescent="0.3">
      <c r="A22" s="4">
        <v>46164</v>
      </c>
      <c r="B22" t="s">
        <v>170</v>
      </c>
      <c r="C22" t="s">
        <v>171</v>
      </c>
    </row>
    <row r="23" spans="1:4" x14ac:dyDescent="0.3">
      <c r="A23" s="4">
        <v>46171</v>
      </c>
      <c r="B23" t="s">
        <v>170</v>
      </c>
      <c r="C23" t="s">
        <v>171</v>
      </c>
    </row>
    <row r="24" spans="1:4" x14ac:dyDescent="0.3">
      <c r="A24" s="4">
        <v>46178</v>
      </c>
      <c r="B24" t="s">
        <v>170</v>
      </c>
      <c r="C24" t="s">
        <v>171</v>
      </c>
    </row>
    <row r="25" spans="1:4" x14ac:dyDescent="0.3">
      <c r="A25" s="4">
        <v>46185</v>
      </c>
      <c r="B25" t="s">
        <v>170</v>
      </c>
      <c r="C25" t="s">
        <v>171</v>
      </c>
    </row>
    <row r="26" spans="1:4" x14ac:dyDescent="0.3">
      <c r="A26" s="4">
        <v>46191</v>
      </c>
      <c r="B26" t="s">
        <v>173</v>
      </c>
      <c r="C26" t="s">
        <v>172</v>
      </c>
      <c r="D26" t="s">
        <v>175</v>
      </c>
    </row>
    <row r="27" spans="1:4" x14ac:dyDescent="0.3">
      <c r="A27" s="4">
        <v>46199</v>
      </c>
      <c r="B27" t="s">
        <v>170</v>
      </c>
      <c r="C27" t="s">
        <v>171</v>
      </c>
    </row>
    <row r="28" spans="1:4" x14ac:dyDescent="0.3">
      <c r="A28" s="4">
        <v>46205</v>
      </c>
      <c r="B28" t="s">
        <v>173</v>
      </c>
      <c r="C28" t="s">
        <v>171</v>
      </c>
      <c r="D28" t="s">
        <v>176</v>
      </c>
    </row>
    <row r="29" spans="1:4" x14ac:dyDescent="0.3">
      <c r="A29" s="4">
        <v>46213</v>
      </c>
      <c r="B29" t="s">
        <v>170</v>
      </c>
      <c r="C29" t="s">
        <v>171</v>
      </c>
    </row>
    <row r="30" spans="1:4" x14ac:dyDescent="0.3">
      <c r="A30" s="4">
        <v>46220</v>
      </c>
      <c r="B30" t="s">
        <v>170</v>
      </c>
      <c r="C30" t="s">
        <v>172</v>
      </c>
    </row>
    <row r="31" spans="1:4" x14ac:dyDescent="0.3">
      <c r="A31" s="4">
        <v>46227</v>
      </c>
      <c r="B31" t="s">
        <v>170</v>
      </c>
      <c r="C31" t="s">
        <v>171</v>
      </c>
    </row>
    <row r="32" spans="1:4" x14ac:dyDescent="0.3">
      <c r="A32" s="4">
        <v>46234</v>
      </c>
      <c r="B32" t="s">
        <v>170</v>
      </c>
      <c r="C32" t="s">
        <v>171</v>
      </c>
    </row>
    <row r="33" spans="1:3" x14ac:dyDescent="0.3">
      <c r="A33" s="4">
        <v>46241</v>
      </c>
      <c r="B33" t="s">
        <v>170</v>
      </c>
      <c r="C33" t="s">
        <v>171</v>
      </c>
    </row>
    <row r="34" spans="1:3" x14ac:dyDescent="0.3">
      <c r="A34" s="4">
        <v>46248</v>
      </c>
      <c r="B34" t="s">
        <v>170</v>
      </c>
      <c r="C34" t="s">
        <v>171</v>
      </c>
    </row>
    <row r="35" spans="1:3" x14ac:dyDescent="0.3">
      <c r="A35" s="4">
        <v>46255</v>
      </c>
      <c r="B35" t="s">
        <v>170</v>
      </c>
      <c r="C35" t="s">
        <v>172</v>
      </c>
    </row>
    <row r="36" spans="1:3" x14ac:dyDescent="0.3">
      <c r="A36" s="4">
        <v>46262</v>
      </c>
      <c r="B36" t="s">
        <v>170</v>
      </c>
      <c r="C36" t="s">
        <v>171</v>
      </c>
    </row>
    <row r="37" spans="1:3" x14ac:dyDescent="0.3">
      <c r="A37" s="4">
        <v>46269</v>
      </c>
      <c r="B37" t="s">
        <v>170</v>
      </c>
      <c r="C37" t="s">
        <v>171</v>
      </c>
    </row>
    <row r="38" spans="1:3" x14ac:dyDescent="0.3">
      <c r="A38" s="4">
        <v>46276</v>
      </c>
      <c r="B38" t="s">
        <v>170</v>
      </c>
      <c r="C38" t="s">
        <v>171</v>
      </c>
    </row>
    <row r="39" spans="1:3" x14ac:dyDescent="0.3">
      <c r="A39" s="4">
        <v>46283</v>
      </c>
      <c r="B39" t="s">
        <v>170</v>
      </c>
      <c r="C39" t="s">
        <v>172</v>
      </c>
    </row>
    <row r="40" spans="1:3" x14ac:dyDescent="0.3">
      <c r="A40" s="4">
        <v>46290</v>
      </c>
      <c r="B40" t="s">
        <v>170</v>
      </c>
      <c r="C40" t="s">
        <v>171</v>
      </c>
    </row>
    <row r="41" spans="1:3" x14ac:dyDescent="0.3">
      <c r="A41" s="4">
        <v>46297</v>
      </c>
      <c r="B41" t="s">
        <v>170</v>
      </c>
      <c r="C41" t="s">
        <v>171</v>
      </c>
    </row>
    <row r="42" spans="1:3" x14ac:dyDescent="0.3">
      <c r="A42" s="4">
        <v>46304</v>
      </c>
      <c r="B42" t="s">
        <v>170</v>
      </c>
      <c r="C42" t="s">
        <v>171</v>
      </c>
    </row>
    <row r="43" spans="1:3" x14ac:dyDescent="0.3">
      <c r="A43" s="4">
        <v>46311</v>
      </c>
      <c r="B43" t="s">
        <v>170</v>
      </c>
      <c r="C43" t="s">
        <v>172</v>
      </c>
    </row>
    <row r="44" spans="1:3" x14ac:dyDescent="0.3">
      <c r="A44" s="4">
        <v>46318</v>
      </c>
      <c r="B44" t="s">
        <v>170</v>
      </c>
      <c r="C44" t="s">
        <v>171</v>
      </c>
    </row>
    <row r="45" spans="1:3" x14ac:dyDescent="0.3">
      <c r="A45" s="4">
        <v>46325</v>
      </c>
      <c r="B45" t="s">
        <v>170</v>
      </c>
      <c r="C45" t="s">
        <v>171</v>
      </c>
    </row>
    <row r="46" spans="1:3" x14ac:dyDescent="0.3">
      <c r="A46" s="4">
        <v>46332</v>
      </c>
      <c r="B46" t="s">
        <v>170</v>
      </c>
      <c r="C46" t="s">
        <v>171</v>
      </c>
    </row>
    <row r="47" spans="1:3" x14ac:dyDescent="0.3">
      <c r="A47" s="4">
        <v>46339</v>
      </c>
      <c r="B47" t="s">
        <v>170</v>
      </c>
      <c r="C47" t="s">
        <v>171</v>
      </c>
    </row>
    <row r="48" spans="1:3" x14ac:dyDescent="0.3">
      <c r="A48" s="4">
        <v>46346</v>
      </c>
      <c r="B48" t="s">
        <v>170</v>
      </c>
      <c r="C48" t="s">
        <v>172</v>
      </c>
    </row>
    <row r="49" spans="1:4" x14ac:dyDescent="0.3">
      <c r="A49" s="4">
        <v>46353</v>
      </c>
      <c r="B49" t="s">
        <v>170</v>
      </c>
      <c r="C49" t="s">
        <v>171</v>
      </c>
    </row>
    <row r="50" spans="1:4" x14ac:dyDescent="0.3">
      <c r="A50" s="4">
        <v>46360</v>
      </c>
      <c r="B50" t="s">
        <v>170</v>
      </c>
      <c r="C50" t="s">
        <v>171</v>
      </c>
    </row>
    <row r="51" spans="1:4" x14ac:dyDescent="0.3">
      <c r="A51" s="4">
        <v>46367</v>
      </c>
      <c r="B51" t="s">
        <v>170</v>
      </c>
      <c r="C51" t="s">
        <v>171</v>
      </c>
    </row>
    <row r="52" spans="1:4" x14ac:dyDescent="0.3">
      <c r="A52" s="4">
        <v>46374</v>
      </c>
      <c r="B52" t="s">
        <v>170</v>
      </c>
      <c r="C52" t="s">
        <v>172</v>
      </c>
    </row>
    <row r="53" spans="1:4" x14ac:dyDescent="0.3">
      <c r="A53" s="4">
        <v>46380</v>
      </c>
      <c r="B53" t="s">
        <v>173</v>
      </c>
      <c r="C53" t="s">
        <v>171</v>
      </c>
      <c r="D53" t="s">
        <v>177</v>
      </c>
    </row>
    <row r="54" spans="1:4" x14ac:dyDescent="0.3">
      <c r="A54" s="4">
        <v>46387</v>
      </c>
      <c r="B54" t="s">
        <v>173</v>
      </c>
      <c r="C54" t="s">
        <v>171</v>
      </c>
      <c r="D54" t="s">
        <v>178</v>
      </c>
    </row>
    <row r="55" spans="1:4" x14ac:dyDescent="0.3">
      <c r="A55" s="4">
        <v>46395</v>
      </c>
      <c r="B55" t="s">
        <v>170</v>
      </c>
      <c r="C55" t="s">
        <v>171</v>
      </c>
    </row>
    <row r="56" spans="1:4" x14ac:dyDescent="0.3">
      <c r="A56" s="4">
        <v>46402</v>
      </c>
      <c r="B56" t="s">
        <v>170</v>
      </c>
      <c r="C56" t="s">
        <v>172</v>
      </c>
    </row>
    <row r="57" spans="1:4" x14ac:dyDescent="0.3">
      <c r="A57" s="4">
        <v>46409</v>
      </c>
      <c r="B57" t="s">
        <v>170</v>
      </c>
      <c r="C57" t="s">
        <v>171</v>
      </c>
    </row>
    <row r="58" spans="1:4" x14ac:dyDescent="0.3">
      <c r="A58" s="4">
        <v>46416</v>
      </c>
      <c r="B58" t="s">
        <v>170</v>
      </c>
      <c r="C58" t="s">
        <v>171</v>
      </c>
    </row>
    <row r="59" spans="1:4" x14ac:dyDescent="0.3">
      <c r="A59" s="4">
        <v>46423</v>
      </c>
      <c r="B59" t="s">
        <v>170</v>
      </c>
      <c r="C59" t="s">
        <v>171</v>
      </c>
    </row>
    <row r="60" spans="1:4" x14ac:dyDescent="0.3">
      <c r="A60" s="4">
        <v>46430</v>
      </c>
      <c r="B60" t="s">
        <v>170</v>
      </c>
      <c r="C60" t="s">
        <v>171</v>
      </c>
    </row>
    <row r="61" spans="1:4" x14ac:dyDescent="0.3">
      <c r="A61" s="4">
        <v>46437</v>
      </c>
      <c r="B61" t="s">
        <v>170</v>
      </c>
      <c r="C61" t="s">
        <v>172</v>
      </c>
    </row>
    <row r="62" spans="1:4" x14ac:dyDescent="0.3">
      <c r="A62" s="4">
        <v>46444</v>
      </c>
      <c r="B62" t="s">
        <v>170</v>
      </c>
      <c r="C62" t="s">
        <v>171</v>
      </c>
    </row>
    <row r="63" spans="1:4" x14ac:dyDescent="0.3">
      <c r="A63" s="4">
        <v>46451</v>
      </c>
      <c r="B63" t="s">
        <v>170</v>
      </c>
      <c r="C63" t="s">
        <v>171</v>
      </c>
    </row>
    <row r="64" spans="1:4" x14ac:dyDescent="0.3">
      <c r="A64" s="4">
        <v>46458</v>
      </c>
      <c r="B64" t="s">
        <v>170</v>
      </c>
      <c r="C64" t="s">
        <v>171</v>
      </c>
    </row>
    <row r="65" spans="1:4" x14ac:dyDescent="0.3">
      <c r="A65" s="4">
        <v>46465</v>
      </c>
      <c r="B65" t="s">
        <v>170</v>
      </c>
      <c r="C65" t="s">
        <v>172</v>
      </c>
    </row>
    <row r="66" spans="1:4" x14ac:dyDescent="0.3">
      <c r="A66" s="4">
        <v>46471</v>
      </c>
      <c r="B66" t="s">
        <v>173</v>
      </c>
      <c r="C66" t="s">
        <v>171</v>
      </c>
      <c r="D66" t="s">
        <v>179</v>
      </c>
    </row>
    <row r="67" spans="1:4" x14ac:dyDescent="0.3">
      <c r="A67" s="4">
        <v>46479</v>
      </c>
      <c r="B67" t="s">
        <v>170</v>
      </c>
      <c r="C67" t="s">
        <v>171</v>
      </c>
    </row>
    <row r="68" spans="1:4" x14ac:dyDescent="0.3">
      <c r="A68" s="4">
        <v>46486</v>
      </c>
      <c r="B68" t="s">
        <v>170</v>
      </c>
      <c r="C68" t="s">
        <v>171</v>
      </c>
    </row>
    <row r="69" spans="1:4" x14ac:dyDescent="0.3">
      <c r="A69" s="4">
        <v>46493</v>
      </c>
      <c r="B69" t="s">
        <v>170</v>
      </c>
      <c r="C69" t="s">
        <v>172</v>
      </c>
    </row>
    <row r="70" spans="1:4" x14ac:dyDescent="0.3">
      <c r="A70" s="4">
        <v>46500</v>
      </c>
      <c r="B70" t="s">
        <v>170</v>
      </c>
      <c r="C70" t="s">
        <v>171</v>
      </c>
    </row>
    <row r="71" spans="1:4" x14ac:dyDescent="0.3">
      <c r="A71" s="4">
        <v>46507</v>
      </c>
      <c r="B71" t="s">
        <v>170</v>
      </c>
      <c r="C71" t="s">
        <v>171</v>
      </c>
    </row>
    <row r="72" spans="1:4" x14ac:dyDescent="0.3">
      <c r="A72" s="4">
        <v>46514</v>
      </c>
      <c r="B72" t="s">
        <v>170</v>
      </c>
      <c r="C72" t="s">
        <v>171</v>
      </c>
    </row>
    <row r="73" spans="1:4" x14ac:dyDescent="0.3">
      <c r="A73" s="4">
        <v>46521</v>
      </c>
      <c r="B73" t="s">
        <v>170</v>
      </c>
      <c r="C73" t="s">
        <v>171</v>
      </c>
    </row>
    <row r="74" spans="1:4" x14ac:dyDescent="0.3">
      <c r="A74" s="4">
        <v>46528</v>
      </c>
      <c r="B74" t="s">
        <v>170</v>
      </c>
      <c r="C74" t="s">
        <v>172</v>
      </c>
    </row>
    <row r="75" spans="1:4" x14ac:dyDescent="0.3">
      <c r="A75" s="4">
        <v>46535</v>
      </c>
      <c r="B75" t="s">
        <v>170</v>
      </c>
      <c r="C75" t="s">
        <v>171</v>
      </c>
    </row>
    <row r="76" spans="1:4" x14ac:dyDescent="0.3">
      <c r="A76" s="4">
        <v>46542</v>
      </c>
      <c r="B76" t="s">
        <v>170</v>
      </c>
      <c r="C76" t="s">
        <v>171</v>
      </c>
    </row>
    <row r="77" spans="1:4" x14ac:dyDescent="0.3">
      <c r="A77" s="4">
        <v>46549</v>
      </c>
      <c r="B77" t="s">
        <v>170</v>
      </c>
      <c r="C77" t="s">
        <v>171</v>
      </c>
    </row>
    <row r="78" spans="1:4" x14ac:dyDescent="0.3">
      <c r="A78" s="4">
        <v>46555</v>
      </c>
      <c r="B78" t="s">
        <v>173</v>
      </c>
      <c r="C78" t="s">
        <v>172</v>
      </c>
      <c r="D78" t="s">
        <v>180</v>
      </c>
    </row>
    <row r="79" spans="1:4" x14ac:dyDescent="0.3">
      <c r="A79" s="4">
        <v>46563</v>
      </c>
      <c r="B79" t="s">
        <v>170</v>
      </c>
      <c r="C79" t="s">
        <v>171</v>
      </c>
    </row>
    <row r="80" spans="1:4" x14ac:dyDescent="0.3">
      <c r="A80" s="4">
        <v>46570</v>
      </c>
      <c r="B80" t="s">
        <v>170</v>
      </c>
      <c r="C80" t="s">
        <v>171</v>
      </c>
    </row>
    <row r="81" spans="1:3" x14ac:dyDescent="0.3">
      <c r="A81" s="4">
        <v>46577</v>
      </c>
      <c r="B81" t="s">
        <v>170</v>
      </c>
      <c r="C81" t="s">
        <v>171</v>
      </c>
    </row>
    <row r="82" spans="1:3" x14ac:dyDescent="0.3">
      <c r="A82" s="4">
        <v>46584</v>
      </c>
      <c r="B82" t="s">
        <v>170</v>
      </c>
      <c r="C82" t="s">
        <v>172</v>
      </c>
    </row>
    <row r="83" spans="1:3" x14ac:dyDescent="0.3">
      <c r="A83" s="4">
        <v>46591</v>
      </c>
      <c r="B83" t="s">
        <v>170</v>
      </c>
      <c r="C83" t="s">
        <v>171</v>
      </c>
    </row>
    <row r="84" spans="1:3" x14ac:dyDescent="0.3">
      <c r="A84" s="4">
        <v>46598</v>
      </c>
      <c r="B84" t="s">
        <v>170</v>
      </c>
      <c r="C84" t="s">
        <v>171</v>
      </c>
    </row>
    <row r="85" spans="1:3" x14ac:dyDescent="0.3">
      <c r="A85" s="4">
        <v>46605</v>
      </c>
      <c r="B85" t="s">
        <v>170</v>
      </c>
      <c r="C85" t="s">
        <v>171</v>
      </c>
    </row>
    <row r="86" spans="1:3" x14ac:dyDescent="0.3">
      <c r="A86" s="4">
        <v>46612</v>
      </c>
      <c r="B86" t="s">
        <v>170</v>
      </c>
      <c r="C86" t="s">
        <v>171</v>
      </c>
    </row>
    <row r="87" spans="1:3" x14ac:dyDescent="0.3">
      <c r="A87" s="4">
        <v>46619</v>
      </c>
      <c r="B87" t="s">
        <v>170</v>
      </c>
      <c r="C87" t="s">
        <v>172</v>
      </c>
    </row>
    <row r="88" spans="1:3" x14ac:dyDescent="0.3">
      <c r="A88" s="4">
        <v>46626</v>
      </c>
      <c r="B88" t="s">
        <v>170</v>
      </c>
      <c r="C88" t="s">
        <v>171</v>
      </c>
    </row>
    <row r="89" spans="1:3" x14ac:dyDescent="0.3">
      <c r="A89" s="4">
        <v>46633</v>
      </c>
      <c r="B89" t="s">
        <v>170</v>
      </c>
      <c r="C89" t="s">
        <v>171</v>
      </c>
    </row>
    <row r="90" spans="1:3" x14ac:dyDescent="0.3">
      <c r="A90" s="4">
        <v>46640</v>
      </c>
      <c r="B90" t="s">
        <v>170</v>
      </c>
      <c r="C90" t="s">
        <v>171</v>
      </c>
    </row>
    <row r="91" spans="1:3" x14ac:dyDescent="0.3">
      <c r="A91" s="4">
        <v>46647</v>
      </c>
      <c r="B91" t="s">
        <v>170</v>
      </c>
      <c r="C91" t="s">
        <v>172</v>
      </c>
    </row>
    <row r="92" spans="1:3" x14ac:dyDescent="0.3">
      <c r="A92" s="4">
        <v>46654</v>
      </c>
      <c r="B92" t="s">
        <v>170</v>
      </c>
      <c r="C92" t="s">
        <v>171</v>
      </c>
    </row>
    <row r="93" spans="1:3" x14ac:dyDescent="0.3">
      <c r="A93" s="4">
        <v>46661</v>
      </c>
      <c r="B93" t="s">
        <v>170</v>
      </c>
      <c r="C93" t="s">
        <v>171</v>
      </c>
    </row>
    <row r="94" spans="1:3" x14ac:dyDescent="0.3">
      <c r="A94" s="4">
        <v>46668</v>
      </c>
      <c r="B94" t="s">
        <v>170</v>
      </c>
      <c r="C94" t="s">
        <v>171</v>
      </c>
    </row>
    <row r="95" spans="1:3" x14ac:dyDescent="0.3">
      <c r="A95" s="4">
        <v>46675</v>
      </c>
      <c r="B95" t="s">
        <v>170</v>
      </c>
      <c r="C95" t="s">
        <v>172</v>
      </c>
    </row>
    <row r="96" spans="1:3" x14ac:dyDescent="0.3">
      <c r="A96" s="4">
        <v>46682</v>
      </c>
      <c r="B96" t="s">
        <v>170</v>
      </c>
      <c r="C96" t="s">
        <v>171</v>
      </c>
    </row>
    <row r="97" spans="1:4" x14ac:dyDescent="0.3">
      <c r="A97" s="4">
        <v>46689</v>
      </c>
      <c r="B97" t="s">
        <v>170</v>
      </c>
      <c r="C97" t="s">
        <v>171</v>
      </c>
    </row>
    <row r="98" spans="1:4" x14ac:dyDescent="0.3">
      <c r="A98" s="4">
        <v>46696</v>
      </c>
      <c r="B98" t="s">
        <v>170</v>
      </c>
      <c r="C98" t="s">
        <v>171</v>
      </c>
    </row>
    <row r="99" spans="1:4" x14ac:dyDescent="0.3">
      <c r="A99" s="4">
        <v>46703</v>
      </c>
      <c r="B99" t="s">
        <v>170</v>
      </c>
      <c r="C99" t="s">
        <v>171</v>
      </c>
    </row>
    <row r="100" spans="1:4" x14ac:dyDescent="0.3">
      <c r="A100" s="4">
        <v>46710</v>
      </c>
      <c r="B100" t="s">
        <v>170</v>
      </c>
      <c r="C100" t="s">
        <v>172</v>
      </c>
    </row>
    <row r="101" spans="1:4" x14ac:dyDescent="0.3">
      <c r="A101" s="4">
        <v>46717</v>
      </c>
      <c r="B101" t="s">
        <v>170</v>
      </c>
      <c r="C101" t="s">
        <v>171</v>
      </c>
    </row>
    <row r="102" spans="1:4" x14ac:dyDescent="0.3">
      <c r="A102" s="4">
        <v>46724</v>
      </c>
      <c r="B102" t="s">
        <v>170</v>
      </c>
      <c r="C102" t="s">
        <v>171</v>
      </c>
    </row>
    <row r="103" spans="1:4" x14ac:dyDescent="0.3">
      <c r="A103" s="4">
        <v>46731</v>
      </c>
      <c r="B103" t="s">
        <v>170</v>
      </c>
      <c r="C103" t="s">
        <v>171</v>
      </c>
    </row>
    <row r="104" spans="1:4" x14ac:dyDescent="0.3">
      <c r="A104" s="4">
        <v>46738</v>
      </c>
      <c r="B104" t="s">
        <v>170</v>
      </c>
      <c r="C104" t="s">
        <v>172</v>
      </c>
    </row>
    <row r="105" spans="1:4" x14ac:dyDescent="0.3">
      <c r="A105" s="4">
        <v>46744</v>
      </c>
      <c r="B105" t="s">
        <v>173</v>
      </c>
      <c r="C105" t="s">
        <v>171</v>
      </c>
      <c r="D105" t="s">
        <v>181</v>
      </c>
    </row>
    <row r="106" spans="1:4" x14ac:dyDescent="0.3">
      <c r="A106" s="4">
        <v>46752</v>
      </c>
      <c r="B106" t="s">
        <v>170</v>
      </c>
      <c r="C106" t="s">
        <v>171</v>
      </c>
      <c r="D106" t="s">
        <v>182</v>
      </c>
    </row>
    <row r="107" spans="1:4" x14ac:dyDescent="0.3">
      <c r="A107" s="4">
        <v>46759</v>
      </c>
      <c r="B107" t="s">
        <v>170</v>
      </c>
      <c r="C107" t="s">
        <v>171</v>
      </c>
    </row>
    <row r="108" spans="1:4" x14ac:dyDescent="0.3">
      <c r="A108" s="4">
        <v>46766</v>
      </c>
      <c r="B108" t="s">
        <v>170</v>
      </c>
      <c r="C108" t="s">
        <v>171</v>
      </c>
    </row>
    <row r="109" spans="1:4" x14ac:dyDescent="0.3">
      <c r="A109" s="4">
        <v>46773</v>
      </c>
      <c r="B109" t="s">
        <v>170</v>
      </c>
      <c r="C109" t="s">
        <v>172</v>
      </c>
    </row>
    <row r="110" spans="1:4" x14ac:dyDescent="0.3">
      <c r="A110" s="4">
        <v>46780</v>
      </c>
      <c r="B110" t="s">
        <v>170</v>
      </c>
      <c r="C110" t="s">
        <v>171</v>
      </c>
    </row>
    <row r="111" spans="1:4" x14ac:dyDescent="0.3">
      <c r="A111" s="4">
        <v>46787</v>
      </c>
      <c r="B111" t="s">
        <v>170</v>
      </c>
      <c r="C111" t="s">
        <v>171</v>
      </c>
    </row>
    <row r="112" spans="1:4" x14ac:dyDescent="0.3">
      <c r="A112" s="4">
        <v>46794</v>
      </c>
      <c r="B112" t="s">
        <v>170</v>
      </c>
      <c r="C112" t="s">
        <v>171</v>
      </c>
    </row>
    <row r="113" spans="1:4" x14ac:dyDescent="0.3">
      <c r="A113" s="4">
        <v>46801</v>
      </c>
      <c r="B113" t="s">
        <v>170</v>
      </c>
      <c r="C113" t="s">
        <v>172</v>
      </c>
    </row>
    <row r="114" spans="1:4" x14ac:dyDescent="0.3">
      <c r="A114" s="4">
        <v>46808</v>
      </c>
      <c r="B114" t="s">
        <v>170</v>
      </c>
      <c r="C114" t="s">
        <v>171</v>
      </c>
    </row>
    <row r="115" spans="1:4" x14ac:dyDescent="0.3">
      <c r="A115" s="4">
        <v>46815</v>
      </c>
      <c r="B115" t="s">
        <v>170</v>
      </c>
      <c r="C115" t="s">
        <v>171</v>
      </c>
    </row>
    <row r="116" spans="1:4" x14ac:dyDescent="0.3">
      <c r="A116" s="4">
        <v>46822</v>
      </c>
      <c r="B116" t="s">
        <v>170</v>
      </c>
      <c r="C116" t="s">
        <v>171</v>
      </c>
    </row>
    <row r="117" spans="1:4" x14ac:dyDescent="0.3">
      <c r="A117" s="4">
        <v>46829</v>
      </c>
      <c r="B117" t="s">
        <v>170</v>
      </c>
      <c r="C117" t="s">
        <v>172</v>
      </c>
    </row>
    <row r="118" spans="1:4" x14ac:dyDescent="0.3">
      <c r="A118" s="4">
        <v>46836</v>
      </c>
      <c r="B118" t="s">
        <v>170</v>
      </c>
      <c r="C118" t="s">
        <v>171</v>
      </c>
    </row>
    <row r="119" spans="1:4" x14ac:dyDescent="0.3">
      <c r="A119" s="4">
        <v>46843</v>
      </c>
      <c r="B119" t="s">
        <v>170</v>
      </c>
      <c r="C119" t="s">
        <v>171</v>
      </c>
    </row>
    <row r="120" spans="1:4" x14ac:dyDescent="0.3">
      <c r="A120" s="4">
        <v>46850</v>
      </c>
      <c r="B120" t="s">
        <v>170</v>
      </c>
      <c r="C120" t="s">
        <v>171</v>
      </c>
    </row>
    <row r="121" spans="1:4" x14ac:dyDescent="0.3">
      <c r="A121" s="4">
        <v>46856</v>
      </c>
      <c r="B121" t="s">
        <v>173</v>
      </c>
      <c r="C121" t="s">
        <v>171</v>
      </c>
      <c r="D121" t="s">
        <v>183</v>
      </c>
    </row>
    <row r="122" spans="1:4" x14ac:dyDescent="0.3">
      <c r="A122" s="4">
        <v>46864</v>
      </c>
      <c r="B122" t="s">
        <v>170</v>
      </c>
      <c r="C122" t="s">
        <v>172</v>
      </c>
    </row>
    <row r="123" spans="1:4" x14ac:dyDescent="0.3">
      <c r="A123" s="4">
        <v>46871</v>
      </c>
      <c r="B123" t="s">
        <v>170</v>
      </c>
      <c r="C123" t="s">
        <v>171</v>
      </c>
    </row>
    <row r="124" spans="1:4" x14ac:dyDescent="0.3">
      <c r="A124" s="4">
        <v>46878</v>
      </c>
      <c r="B124" t="s">
        <v>170</v>
      </c>
      <c r="C124" t="s">
        <v>171</v>
      </c>
    </row>
    <row r="125" spans="1:4" x14ac:dyDescent="0.3">
      <c r="A125" s="4">
        <v>46885</v>
      </c>
      <c r="B125" t="s">
        <v>170</v>
      </c>
      <c r="C125" t="s">
        <v>171</v>
      </c>
    </row>
    <row r="126" spans="1:4" x14ac:dyDescent="0.3">
      <c r="A126" s="4">
        <v>46892</v>
      </c>
      <c r="B126" t="s">
        <v>170</v>
      </c>
      <c r="C126" t="s">
        <v>172</v>
      </c>
    </row>
    <row r="127" spans="1:4" x14ac:dyDescent="0.3">
      <c r="A127" s="4">
        <v>46899</v>
      </c>
      <c r="B127" t="s">
        <v>170</v>
      </c>
      <c r="C127" t="s">
        <v>171</v>
      </c>
    </row>
    <row r="128" spans="1:4" x14ac:dyDescent="0.3">
      <c r="A128" s="4">
        <v>46906</v>
      </c>
      <c r="B128" t="s">
        <v>170</v>
      </c>
      <c r="C128" t="s">
        <v>171</v>
      </c>
    </row>
    <row r="129" spans="1:3" x14ac:dyDescent="0.3">
      <c r="A129" s="4">
        <v>46913</v>
      </c>
      <c r="B129" t="s">
        <v>170</v>
      </c>
      <c r="C129" t="s">
        <v>171</v>
      </c>
    </row>
    <row r="130" spans="1:3" x14ac:dyDescent="0.3">
      <c r="A130" s="4">
        <v>46920</v>
      </c>
      <c r="B130" t="s">
        <v>170</v>
      </c>
      <c r="C130" t="s">
        <v>172</v>
      </c>
    </row>
    <row r="131" spans="1:3" x14ac:dyDescent="0.3">
      <c r="A131" s="4">
        <v>46927</v>
      </c>
      <c r="B131" t="s">
        <v>170</v>
      </c>
      <c r="C131" t="s">
        <v>171</v>
      </c>
    </row>
    <row r="132" spans="1:3" x14ac:dyDescent="0.3">
      <c r="A132" s="4">
        <v>46934</v>
      </c>
      <c r="B132" t="s">
        <v>170</v>
      </c>
      <c r="C132" t="s">
        <v>171</v>
      </c>
    </row>
    <row r="133" spans="1:3" x14ac:dyDescent="0.3">
      <c r="A133" s="4">
        <v>46941</v>
      </c>
      <c r="B133" t="s">
        <v>170</v>
      </c>
      <c r="C133" t="s">
        <v>171</v>
      </c>
    </row>
    <row r="134" spans="1:3" x14ac:dyDescent="0.3">
      <c r="A134" s="4">
        <v>46948</v>
      </c>
      <c r="B134" t="s">
        <v>170</v>
      </c>
      <c r="C134" t="s">
        <v>171</v>
      </c>
    </row>
    <row r="135" spans="1:3" x14ac:dyDescent="0.3">
      <c r="A135" s="4">
        <v>46955</v>
      </c>
      <c r="B135" t="s">
        <v>170</v>
      </c>
      <c r="C135" t="s">
        <v>172</v>
      </c>
    </row>
    <row r="136" spans="1:3" x14ac:dyDescent="0.3">
      <c r="A136" s="4">
        <v>46962</v>
      </c>
      <c r="B136" t="s">
        <v>170</v>
      </c>
      <c r="C136" t="s">
        <v>171</v>
      </c>
    </row>
    <row r="137" spans="1:3" x14ac:dyDescent="0.3">
      <c r="A137" s="4">
        <v>46969</v>
      </c>
      <c r="B137" t="s">
        <v>170</v>
      </c>
      <c r="C137" t="s">
        <v>171</v>
      </c>
    </row>
    <row r="138" spans="1:3" x14ac:dyDescent="0.3">
      <c r="A138" s="4">
        <v>46976</v>
      </c>
      <c r="B138" t="s">
        <v>170</v>
      </c>
      <c r="C138" t="s">
        <v>171</v>
      </c>
    </row>
    <row r="139" spans="1:3" x14ac:dyDescent="0.3">
      <c r="A139" s="4">
        <v>46983</v>
      </c>
      <c r="B139" t="s">
        <v>170</v>
      </c>
      <c r="C139" t="s">
        <v>172</v>
      </c>
    </row>
    <row r="140" spans="1:3" x14ac:dyDescent="0.3">
      <c r="A140" s="4">
        <v>46990</v>
      </c>
      <c r="B140" t="s">
        <v>170</v>
      </c>
      <c r="C140" t="s">
        <v>171</v>
      </c>
    </row>
    <row r="141" spans="1:3" x14ac:dyDescent="0.3">
      <c r="A141" s="4">
        <v>46997</v>
      </c>
      <c r="B141" t="s">
        <v>170</v>
      </c>
      <c r="C141" t="s">
        <v>171</v>
      </c>
    </row>
    <row r="142" spans="1:3" x14ac:dyDescent="0.3">
      <c r="A142" s="4">
        <v>47004</v>
      </c>
      <c r="B142" t="s">
        <v>170</v>
      </c>
      <c r="C142" t="s">
        <v>171</v>
      </c>
    </row>
    <row r="143" spans="1:3" x14ac:dyDescent="0.3">
      <c r="A143" s="4">
        <v>47011</v>
      </c>
      <c r="B143" t="s">
        <v>170</v>
      </c>
      <c r="C143" t="s">
        <v>172</v>
      </c>
    </row>
    <row r="144" spans="1:3" x14ac:dyDescent="0.3">
      <c r="A144" s="4">
        <v>47018</v>
      </c>
      <c r="B144" t="s">
        <v>170</v>
      </c>
      <c r="C144" t="s">
        <v>171</v>
      </c>
    </row>
    <row r="145" spans="1:3" x14ac:dyDescent="0.3">
      <c r="A145" s="4">
        <v>47025</v>
      </c>
      <c r="B145" t="s">
        <v>170</v>
      </c>
      <c r="C145" t="s">
        <v>171</v>
      </c>
    </row>
    <row r="146" spans="1:3" x14ac:dyDescent="0.3">
      <c r="A146" s="4">
        <v>47032</v>
      </c>
      <c r="B146" t="s">
        <v>170</v>
      </c>
      <c r="C146" t="s">
        <v>171</v>
      </c>
    </row>
    <row r="147" spans="1:3" x14ac:dyDescent="0.3">
      <c r="A147" s="4">
        <v>47039</v>
      </c>
      <c r="B147" t="s">
        <v>170</v>
      </c>
      <c r="C147" t="s">
        <v>171</v>
      </c>
    </row>
    <row r="148" spans="1:3" x14ac:dyDescent="0.3">
      <c r="A148" s="4">
        <v>47046</v>
      </c>
      <c r="B148" t="s">
        <v>170</v>
      </c>
      <c r="C148" t="s">
        <v>172</v>
      </c>
    </row>
    <row r="149" spans="1:3" x14ac:dyDescent="0.3">
      <c r="A149" s="4">
        <v>47053</v>
      </c>
      <c r="B149" t="s">
        <v>170</v>
      </c>
      <c r="C149" t="s">
        <v>171</v>
      </c>
    </row>
    <row r="150" spans="1:3" x14ac:dyDescent="0.3">
      <c r="A150" s="4">
        <v>47060</v>
      </c>
      <c r="B150" t="s">
        <v>170</v>
      </c>
      <c r="C150" t="s">
        <v>171</v>
      </c>
    </row>
    <row r="151" spans="1:3" x14ac:dyDescent="0.3">
      <c r="A151" s="4">
        <v>47067</v>
      </c>
      <c r="B151" t="s">
        <v>170</v>
      </c>
      <c r="C151" t="s">
        <v>171</v>
      </c>
    </row>
    <row r="152" spans="1:3" x14ac:dyDescent="0.3">
      <c r="A152" s="4">
        <v>47074</v>
      </c>
      <c r="B152" t="s">
        <v>170</v>
      </c>
      <c r="C152" t="s">
        <v>172</v>
      </c>
    </row>
    <row r="153" spans="1:3" x14ac:dyDescent="0.3">
      <c r="A153" s="4">
        <v>47081</v>
      </c>
      <c r="B153" t="s">
        <v>170</v>
      </c>
      <c r="C153" t="s">
        <v>171</v>
      </c>
    </row>
    <row r="154" spans="1:3" x14ac:dyDescent="0.3">
      <c r="A154" s="4">
        <v>47088</v>
      </c>
      <c r="B154" t="s">
        <v>170</v>
      </c>
      <c r="C154" t="s">
        <v>171</v>
      </c>
    </row>
    <row r="155" spans="1:3" x14ac:dyDescent="0.3">
      <c r="A155" s="4">
        <v>47095</v>
      </c>
      <c r="B155" t="s">
        <v>170</v>
      </c>
      <c r="C155" t="s">
        <v>171</v>
      </c>
    </row>
    <row r="156" spans="1:3" x14ac:dyDescent="0.3">
      <c r="A156" s="4">
        <v>47102</v>
      </c>
      <c r="B156" t="s">
        <v>170</v>
      </c>
      <c r="C156" t="s">
        <v>172</v>
      </c>
    </row>
    <row r="157" spans="1:3" x14ac:dyDescent="0.3">
      <c r="A157" s="4">
        <v>47109</v>
      </c>
      <c r="B157" t="s">
        <v>170</v>
      </c>
      <c r="C157" t="s">
        <v>171</v>
      </c>
    </row>
    <row r="158" spans="1:3" x14ac:dyDescent="0.3">
      <c r="A158" s="4">
        <v>47116</v>
      </c>
      <c r="B158" t="s">
        <v>170</v>
      </c>
      <c r="C158" t="s">
        <v>171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2D8A6-C554-4F8E-B8CE-9CB7F2EB582A}">
  <sheetPr codeName="Sheet6">
    <tabColor rgb="FF7030A0"/>
  </sheetPr>
  <dimension ref="A1:N37"/>
  <sheetViews>
    <sheetView workbookViewId="0">
      <selection activeCell="C4" sqref="C4"/>
    </sheetView>
  </sheetViews>
  <sheetFormatPr defaultRowHeight="14.4" x14ac:dyDescent="0.3"/>
  <cols>
    <col min="1" max="2" width="14.77734375" customWidth="1"/>
    <col min="3" max="3" width="14.109375" customWidth="1"/>
    <col min="4" max="4" width="15.33203125" customWidth="1"/>
    <col min="5" max="5" width="21.109375" customWidth="1"/>
    <col min="6" max="6" width="21" customWidth="1"/>
    <col min="7" max="7" width="21.109375" customWidth="1"/>
    <col min="8" max="8" width="21" customWidth="1"/>
    <col min="9" max="9" width="23.5546875" customWidth="1"/>
    <col min="10" max="10" width="10.44140625" customWidth="1"/>
    <col min="11" max="11" width="14.5546875" customWidth="1"/>
    <col min="12" max="12" width="18.77734375" customWidth="1"/>
    <col min="13" max="13" width="14.33203125" customWidth="1"/>
  </cols>
  <sheetData>
    <row r="1" spans="1:14" x14ac:dyDescent="0.3">
      <c r="A1" s="141" t="s">
        <v>917</v>
      </c>
      <c r="B1" s="141" t="s">
        <v>923</v>
      </c>
      <c r="C1" t="s">
        <v>779</v>
      </c>
      <c r="D1" t="s">
        <v>780</v>
      </c>
      <c r="E1" t="s">
        <v>781</v>
      </c>
      <c r="F1" t="s">
        <v>782</v>
      </c>
      <c r="G1" t="s">
        <v>783</v>
      </c>
      <c r="H1" t="s">
        <v>169</v>
      </c>
      <c r="I1" t="s">
        <v>825</v>
      </c>
      <c r="J1" t="s">
        <v>826</v>
      </c>
      <c r="K1" t="s">
        <v>827</v>
      </c>
      <c r="L1" t="s">
        <v>828</v>
      </c>
      <c r="M1" t="s">
        <v>829</v>
      </c>
      <c r="N1" t="s">
        <v>830</v>
      </c>
    </row>
    <row r="2" spans="1:14" x14ac:dyDescent="0.3">
      <c r="A2" s="141" t="s">
        <v>918</v>
      </c>
      <c r="B2" s="141" t="s">
        <v>1112</v>
      </c>
      <c r="C2" t="s">
        <v>784</v>
      </c>
      <c r="D2" t="s">
        <v>785</v>
      </c>
      <c r="E2" t="s">
        <v>786</v>
      </c>
      <c r="F2" t="s">
        <v>787</v>
      </c>
      <c r="H2" t="s">
        <v>788</v>
      </c>
      <c r="I2" t="s">
        <v>817</v>
      </c>
      <c r="J2" t="s">
        <v>817</v>
      </c>
      <c r="K2" t="s">
        <v>831</v>
      </c>
      <c r="L2" t="s">
        <v>832</v>
      </c>
      <c r="M2" t="s">
        <v>817</v>
      </c>
      <c r="N2" t="s">
        <v>833</v>
      </c>
    </row>
    <row r="3" spans="1:14" x14ac:dyDescent="0.3">
      <c r="A3" s="141" t="s">
        <v>918</v>
      </c>
      <c r="B3" s="141" t="s">
        <v>1174</v>
      </c>
      <c r="C3" t="s">
        <v>789</v>
      </c>
      <c r="D3" t="s">
        <v>785</v>
      </c>
      <c r="E3" t="s">
        <v>786</v>
      </c>
      <c r="F3" t="s">
        <v>787</v>
      </c>
      <c r="H3" t="s">
        <v>790</v>
      </c>
      <c r="I3" t="s">
        <v>817</v>
      </c>
      <c r="J3" t="s">
        <v>817</v>
      </c>
      <c r="K3" t="s">
        <v>834</v>
      </c>
      <c r="L3" t="s">
        <v>832</v>
      </c>
      <c r="M3" t="s">
        <v>817</v>
      </c>
      <c r="N3" t="s">
        <v>835</v>
      </c>
    </row>
    <row r="4" spans="1:14" x14ac:dyDescent="0.3">
      <c r="A4" s="141" t="s">
        <v>918</v>
      </c>
      <c r="B4" s="141" t="s">
        <v>1296</v>
      </c>
      <c r="C4" t="s">
        <v>791</v>
      </c>
      <c r="D4" t="s">
        <v>785</v>
      </c>
      <c r="E4" t="s">
        <v>792</v>
      </c>
      <c r="F4" t="s">
        <v>787</v>
      </c>
      <c r="G4" t="s">
        <v>793</v>
      </c>
      <c r="H4" t="s">
        <v>794</v>
      </c>
      <c r="I4" t="s">
        <v>817</v>
      </c>
      <c r="J4" t="s">
        <v>818</v>
      </c>
      <c r="K4" t="s">
        <v>836</v>
      </c>
      <c r="L4" t="s">
        <v>837</v>
      </c>
      <c r="M4" t="s">
        <v>817</v>
      </c>
      <c r="N4" t="s">
        <v>838</v>
      </c>
    </row>
    <row r="5" spans="1:14" x14ac:dyDescent="0.3">
      <c r="A5" s="141" t="s">
        <v>918</v>
      </c>
      <c r="B5" s="141" t="s">
        <v>1297</v>
      </c>
      <c r="C5" t="s">
        <v>795</v>
      </c>
      <c r="D5" t="s">
        <v>796</v>
      </c>
      <c r="F5" t="s">
        <v>787</v>
      </c>
      <c r="H5" t="s">
        <v>797</v>
      </c>
      <c r="I5" t="s">
        <v>839</v>
      </c>
      <c r="J5" t="s">
        <v>839</v>
      </c>
      <c r="K5" t="s">
        <v>840</v>
      </c>
      <c r="L5" t="s">
        <v>841</v>
      </c>
      <c r="M5" t="s">
        <v>839</v>
      </c>
      <c r="N5" t="s">
        <v>842</v>
      </c>
    </row>
    <row r="6" spans="1:14" x14ac:dyDescent="0.3">
      <c r="A6" s="141" t="s">
        <v>918</v>
      </c>
      <c r="B6" s="141" t="s">
        <v>1052</v>
      </c>
      <c r="C6" t="s">
        <v>798</v>
      </c>
      <c r="D6" t="s">
        <v>785</v>
      </c>
      <c r="E6" t="s">
        <v>799</v>
      </c>
      <c r="F6" t="s">
        <v>787</v>
      </c>
      <c r="G6" t="s">
        <v>800</v>
      </c>
      <c r="H6" t="s">
        <v>843</v>
      </c>
      <c r="I6" t="s">
        <v>817</v>
      </c>
      <c r="J6" t="s">
        <v>818</v>
      </c>
      <c r="K6" t="s">
        <v>844</v>
      </c>
      <c r="L6" t="s">
        <v>845</v>
      </c>
      <c r="M6" t="s">
        <v>817</v>
      </c>
      <c r="N6" t="s">
        <v>846</v>
      </c>
    </row>
    <row r="7" spans="1:14" x14ac:dyDescent="0.3">
      <c r="A7" s="141" t="s">
        <v>918</v>
      </c>
      <c r="B7" s="141" t="s">
        <v>1298</v>
      </c>
      <c r="C7" t="s">
        <v>847</v>
      </c>
      <c r="D7" t="s">
        <v>785</v>
      </c>
      <c r="E7" t="s">
        <v>799</v>
      </c>
      <c r="F7" t="s">
        <v>787</v>
      </c>
      <c r="G7" t="s">
        <v>800</v>
      </c>
      <c r="H7" t="s">
        <v>848</v>
      </c>
      <c r="I7" t="s">
        <v>817</v>
      </c>
      <c r="J7" t="s">
        <v>818</v>
      </c>
      <c r="K7" t="s">
        <v>844</v>
      </c>
      <c r="L7" t="s">
        <v>845</v>
      </c>
      <c r="M7" t="s">
        <v>817</v>
      </c>
      <c r="N7" t="s">
        <v>846</v>
      </c>
    </row>
    <row r="8" spans="1:14" x14ac:dyDescent="0.3">
      <c r="A8" s="141" t="s">
        <v>918</v>
      </c>
      <c r="B8" s="141" t="s">
        <v>1299</v>
      </c>
      <c r="C8" t="s">
        <v>801</v>
      </c>
      <c r="D8" t="s">
        <v>785</v>
      </c>
      <c r="F8" t="s">
        <v>787</v>
      </c>
      <c r="G8" t="s">
        <v>793</v>
      </c>
      <c r="H8" t="s">
        <v>849</v>
      </c>
      <c r="I8" t="s">
        <v>817</v>
      </c>
      <c r="J8" t="s">
        <v>818</v>
      </c>
      <c r="K8" t="s">
        <v>850</v>
      </c>
      <c r="L8" t="s">
        <v>851</v>
      </c>
      <c r="M8" t="s">
        <v>817</v>
      </c>
      <c r="N8" t="s">
        <v>852</v>
      </c>
    </row>
    <row r="9" spans="1:14" x14ac:dyDescent="0.3">
      <c r="A9" s="141" t="s">
        <v>918</v>
      </c>
      <c r="B9" s="141" t="s">
        <v>1240</v>
      </c>
      <c r="C9" t="s">
        <v>802</v>
      </c>
      <c r="D9" t="s">
        <v>785</v>
      </c>
      <c r="E9" t="s">
        <v>803</v>
      </c>
      <c r="F9" t="s">
        <v>787</v>
      </c>
      <c r="H9" t="s">
        <v>853</v>
      </c>
      <c r="I9" t="s">
        <v>817</v>
      </c>
      <c r="J9" t="s">
        <v>817</v>
      </c>
      <c r="K9" t="s">
        <v>831</v>
      </c>
      <c r="L9" t="s">
        <v>832</v>
      </c>
      <c r="M9" t="s">
        <v>817</v>
      </c>
      <c r="N9" t="s">
        <v>833</v>
      </c>
    </row>
    <row r="10" spans="1:14" x14ac:dyDescent="0.3">
      <c r="A10" s="141" t="s">
        <v>918</v>
      </c>
      <c r="B10" s="141" t="s">
        <v>1300</v>
      </c>
      <c r="C10" t="s">
        <v>804</v>
      </c>
      <c r="D10" t="s">
        <v>785</v>
      </c>
      <c r="E10" t="s">
        <v>805</v>
      </c>
      <c r="F10" t="s">
        <v>787</v>
      </c>
      <c r="G10" t="s">
        <v>806</v>
      </c>
      <c r="H10" t="s">
        <v>854</v>
      </c>
      <c r="I10" t="s">
        <v>817</v>
      </c>
      <c r="J10" t="s">
        <v>818</v>
      </c>
      <c r="K10" t="s">
        <v>855</v>
      </c>
      <c r="L10" t="s">
        <v>856</v>
      </c>
      <c r="M10" t="s">
        <v>817</v>
      </c>
      <c r="N10" t="s">
        <v>857</v>
      </c>
    </row>
    <row r="11" spans="1:14" x14ac:dyDescent="0.3">
      <c r="A11" s="141" t="s">
        <v>919</v>
      </c>
      <c r="B11" s="141" t="s">
        <v>1112</v>
      </c>
      <c r="C11" t="s">
        <v>807</v>
      </c>
      <c r="D11" t="s">
        <v>785</v>
      </c>
      <c r="E11" t="s">
        <v>786</v>
      </c>
      <c r="F11" t="s">
        <v>808</v>
      </c>
      <c r="H11" t="s">
        <v>809</v>
      </c>
      <c r="I11" t="s">
        <v>817</v>
      </c>
      <c r="K11" t="s">
        <v>858</v>
      </c>
      <c r="M11" t="s">
        <v>817</v>
      </c>
      <c r="N11" t="s">
        <v>858</v>
      </c>
    </row>
    <row r="12" spans="1:14" x14ac:dyDescent="0.3">
      <c r="A12" s="141" t="s">
        <v>919</v>
      </c>
      <c r="B12" s="141" t="s">
        <v>1174</v>
      </c>
      <c r="C12" t="s">
        <v>789</v>
      </c>
      <c r="D12" t="s">
        <v>785</v>
      </c>
      <c r="E12" t="s">
        <v>786</v>
      </c>
      <c r="F12" t="s">
        <v>808</v>
      </c>
      <c r="H12" t="s">
        <v>809</v>
      </c>
      <c r="I12" t="s">
        <v>817</v>
      </c>
      <c r="K12" t="s">
        <v>858</v>
      </c>
      <c r="M12" t="s">
        <v>817</v>
      </c>
      <c r="N12" t="s">
        <v>858</v>
      </c>
    </row>
    <row r="13" spans="1:14" x14ac:dyDescent="0.3">
      <c r="A13" s="141" t="s">
        <v>919</v>
      </c>
      <c r="B13" s="141" t="s">
        <v>1296</v>
      </c>
      <c r="C13" t="s">
        <v>791</v>
      </c>
      <c r="D13" t="s">
        <v>785</v>
      </c>
      <c r="E13" t="s">
        <v>792</v>
      </c>
      <c r="F13" t="s">
        <v>808</v>
      </c>
      <c r="H13" t="s">
        <v>810</v>
      </c>
      <c r="I13" t="s">
        <v>817</v>
      </c>
      <c r="K13" t="s">
        <v>859</v>
      </c>
      <c r="M13" t="s">
        <v>817</v>
      </c>
      <c r="N13" t="s">
        <v>859</v>
      </c>
    </row>
    <row r="14" spans="1:14" x14ac:dyDescent="0.3">
      <c r="A14" s="141" t="s">
        <v>919</v>
      </c>
      <c r="B14" s="141" t="s">
        <v>1297</v>
      </c>
      <c r="C14" t="s">
        <v>795</v>
      </c>
      <c r="D14" t="s">
        <v>796</v>
      </c>
      <c r="F14" t="s">
        <v>808</v>
      </c>
      <c r="H14" t="s">
        <v>860</v>
      </c>
      <c r="I14" t="s">
        <v>839</v>
      </c>
      <c r="K14" t="s">
        <v>861</v>
      </c>
      <c r="M14" t="s">
        <v>839</v>
      </c>
      <c r="N14" t="s">
        <v>861</v>
      </c>
    </row>
    <row r="15" spans="1:14" x14ac:dyDescent="0.3">
      <c r="A15" s="141" t="s">
        <v>919</v>
      </c>
      <c r="B15" s="141" t="s">
        <v>1052</v>
      </c>
      <c r="C15" t="s">
        <v>811</v>
      </c>
      <c r="D15" t="s">
        <v>812</v>
      </c>
      <c r="E15" t="s">
        <v>813</v>
      </c>
      <c r="F15" t="s">
        <v>808</v>
      </c>
      <c r="H15" t="s">
        <v>862</v>
      </c>
      <c r="I15" t="s">
        <v>818</v>
      </c>
      <c r="K15" t="s">
        <v>863</v>
      </c>
      <c r="M15" t="s">
        <v>818</v>
      </c>
      <c r="N15" t="s">
        <v>863</v>
      </c>
    </row>
    <row r="16" spans="1:14" x14ac:dyDescent="0.3">
      <c r="A16" s="141" t="s">
        <v>919</v>
      </c>
      <c r="B16" s="141" t="s">
        <v>1298</v>
      </c>
      <c r="C16" t="s">
        <v>847</v>
      </c>
      <c r="D16" t="s">
        <v>812</v>
      </c>
      <c r="F16" t="s">
        <v>808</v>
      </c>
      <c r="H16" t="s">
        <v>864</v>
      </c>
      <c r="I16" t="s">
        <v>818</v>
      </c>
      <c r="K16" t="s">
        <v>865</v>
      </c>
      <c r="M16" t="s">
        <v>818</v>
      </c>
      <c r="N16" t="s">
        <v>865</v>
      </c>
    </row>
    <row r="17" spans="1:14" x14ac:dyDescent="0.3">
      <c r="A17" s="141" t="s">
        <v>919</v>
      </c>
      <c r="B17" s="141" t="s">
        <v>1299</v>
      </c>
      <c r="C17" t="s">
        <v>801</v>
      </c>
      <c r="D17" t="s">
        <v>785</v>
      </c>
      <c r="E17" t="s">
        <v>813</v>
      </c>
      <c r="F17" t="s">
        <v>808</v>
      </c>
      <c r="H17" t="s">
        <v>866</v>
      </c>
      <c r="I17" t="s">
        <v>817</v>
      </c>
      <c r="K17" t="s">
        <v>867</v>
      </c>
      <c r="M17" t="s">
        <v>817</v>
      </c>
      <c r="N17" t="s">
        <v>867</v>
      </c>
    </row>
    <row r="18" spans="1:14" x14ac:dyDescent="0.3">
      <c r="A18" s="141" t="s">
        <v>919</v>
      </c>
      <c r="B18" s="141" t="s">
        <v>1240</v>
      </c>
      <c r="C18" t="s">
        <v>802</v>
      </c>
      <c r="D18" t="s">
        <v>785</v>
      </c>
      <c r="E18" t="s">
        <v>803</v>
      </c>
      <c r="F18" t="s">
        <v>808</v>
      </c>
      <c r="H18" t="s">
        <v>868</v>
      </c>
      <c r="I18" t="s">
        <v>817</v>
      </c>
      <c r="K18" t="s">
        <v>858</v>
      </c>
      <c r="M18" t="s">
        <v>817</v>
      </c>
      <c r="N18" t="s">
        <v>858</v>
      </c>
    </row>
    <row r="19" spans="1:14" x14ac:dyDescent="0.3">
      <c r="A19" s="141" t="s">
        <v>919</v>
      </c>
      <c r="B19" s="141" t="s">
        <v>1300</v>
      </c>
      <c r="C19" t="s">
        <v>804</v>
      </c>
      <c r="D19" t="s">
        <v>812</v>
      </c>
      <c r="E19" t="s">
        <v>813</v>
      </c>
      <c r="F19" t="s">
        <v>808</v>
      </c>
      <c r="H19" t="s">
        <v>869</v>
      </c>
      <c r="I19" t="s">
        <v>818</v>
      </c>
      <c r="K19" t="s">
        <v>870</v>
      </c>
      <c r="M19" t="s">
        <v>818</v>
      </c>
      <c r="N19" t="s">
        <v>870</v>
      </c>
    </row>
    <row r="20" spans="1:14" x14ac:dyDescent="0.3">
      <c r="A20" s="141" t="s">
        <v>920</v>
      </c>
      <c r="B20" s="141" t="s">
        <v>1112</v>
      </c>
      <c r="C20" t="s">
        <v>784</v>
      </c>
      <c r="D20" t="s">
        <v>785</v>
      </c>
      <c r="E20" t="s">
        <v>786</v>
      </c>
      <c r="F20" t="s">
        <v>787</v>
      </c>
      <c r="H20" t="s">
        <v>788</v>
      </c>
      <c r="I20" t="s">
        <v>817</v>
      </c>
      <c r="J20" t="s">
        <v>817</v>
      </c>
      <c r="K20" t="s">
        <v>871</v>
      </c>
      <c r="L20" t="s">
        <v>872</v>
      </c>
      <c r="M20" t="s">
        <v>817</v>
      </c>
      <c r="N20" t="s">
        <v>873</v>
      </c>
    </row>
    <row r="21" spans="1:14" x14ac:dyDescent="0.3">
      <c r="A21" s="141" t="s">
        <v>920</v>
      </c>
      <c r="B21" s="141" t="s">
        <v>1174</v>
      </c>
      <c r="C21" t="s">
        <v>789</v>
      </c>
      <c r="D21" t="s">
        <v>785</v>
      </c>
      <c r="E21" t="s">
        <v>786</v>
      </c>
      <c r="F21" t="s">
        <v>787</v>
      </c>
      <c r="H21" t="s">
        <v>790</v>
      </c>
      <c r="I21" t="s">
        <v>817</v>
      </c>
      <c r="J21" t="s">
        <v>817</v>
      </c>
      <c r="K21" t="s">
        <v>874</v>
      </c>
      <c r="L21" t="s">
        <v>872</v>
      </c>
      <c r="M21" t="s">
        <v>817</v>
      </c>
      <c r="N21" t="s">
        <v>875</v>
      </c>
    </row>
    <row r="22" spans="1:14" x14ac:dyDescent="0.3">
      <c r="A22" s="141" t="s">
        <v>920</v>
      </c>
      <c r="B22" s="141" t="s">
        <v>1296</v>
      </c>
      <c r="C22" t="s">
        <v>791</v>
      </c>
      <c r="D22" t="s">
        <v>785</v>
      </c>
      <c r="E22" t="s">
        <v>792</v>
      </c>
      <c r="F22" t="s">
        <v>787</v>
      </c>
      <c r="G22" t="s">
        <v>793</v>
      </c>
      <c r="H22" t="s">
        <v>876</v>
      </c>
      <c r="I22" t="s">
        <v>817</v>
      </c>
      <c r="J22" t="s">
        <v>818</v>
      </c>
      <c r="K22" t="s">
        <v>877</v>
      </c>
      <c r="L22" t="s">
        <v>878</v>
      </c>
      <c r="M22" t="s">
        <v>817</v>
      </c>
      <c r="N22" t="s">
        <v>879</v>
      </c>
    </row>
    <row r="23" spans="1:14" x14ac:dyDescent="0.3">
      <c r="A23" s="141" t="s">
        <v>920</v>
      </c>
      <c r="B23" s="141" t="s">
        <v>1297</v>
      </c>
      <c r="C23" t="s">
        <v>795</v>
      </c>
      <c r="D23" t="s">
        <v>796</v>
      </c>
      <c r="F23" t="s">
        <v>787</v>
      </c>
      <c r="H23" t="s">
        <v>797</v>
      </c>
      <c r="I23" t="s">
        <v>839</v>
      </c>
      <c r="J23" t="s">
        <v>839</v>
      </c>
      <c r="K23" t="s">
        <v>880</v>
      </c>
      <c r="L23" t="s">
        <v>881</v>
      </c>
      <c r="M23" t="s">
        <v>839</v>
      </c>
      <c r="N23" t="s">
        <v>882</v>
      </c>
    </row>
    <row r="24" spans="1:14" x14ac:dyDescent="0.3">
      <c r="A24" s="141" t="s">
        <v>920</v>
      </c>
      <c r="B24" s="141" t="s">
        <v>1052</v>
      </c>
      <c r="C24" t="s">
        <v>811</v>
      </c>
      <c r="D24" t="s">
        <v>785</v>
      </c>
      <c r="E24" t="s">
        <v>799</v>
      </c>
      <c r="F24" t="s">
        <v>787</v>
      </c>
      <c r="G24" t="s">
        <v>800</v>
      </c>
      <c r="H24" t="s">
        <v>843</v>
      </c>
      <c r="I24" t="s">
        <v>817</v>
      </c>
      <c r="J24" t="s">
        <v>818</v>
      </c>
      <c r="K24" t="s">
        <v>883</v>
      </c>
      <c r="L24" t="s">
        <v>884</v>
      </c>
      <c r="M24" t="s">
        <v>817</v>
      </c>
      <c r="N24" t="s">
        <v>885</v>
      </c>
    </row>
    <row r="25" spans="1:14" x14ac:dyDescent="0.3">
      <c r="A25" s="141" t="s">
        <v>920</v>
      </c>
      <c r="B25" s="141" t="s">
        <v>1298</v>
      </c>
      <c r="C25" t="s">
        <v>847</v>
      </c>
      <c r="D25" t="s">
        <v>785</v>
      </c>
      <c r="E25" t="s">
        <v>799</v>
      </c>
      <c r="F25" t="s">
        <v>787</v>
      </c>
      <c r="G25" t="s">
        <v>800</v>
      </c>
      <c r="H25" t="s">
        <v>848</v>
      </c>
      <c r="I25" t="s">
        <v>817</v>
      </c>
      <c r="J25" t="s">
        <v>818</v>
      </c>
      <c r="K25" t="s">
        <v>883</v>
      </c>
      <c r="L25" t="s">
        <v>884</v>
      </c>
      <c r="M25" t="s">
        <v>817</v>
      </c>
      <c r="N25" t="s">
        <v>885</v>
      </c>
    </row>
    <row r="26" spans="1:14" x14ac:dyDescent="0.3">
      <c r="A26" s="141" t="s">
        <v>920</v>
      </c>
      <c r="B26" s="141" t="s">
        <v>1299</v>
      </c>
      <c r="C26" t="s">
        <v>801</v>
      </c>
      <c r="D26" t="s">
        <v>785</v>
      </c>
      <c r="F26" t="s">
        <v>787</v>
      </c>
      <c r="G26" t="s">
        <v>793</v>
      </c>
      <c r="H26" t="s">
        <v>849</v>
      </c>
      <c r="I26" t="s">
        <v>817</v>
      </c>
      <c r="J26" t="s">
        <v>818</v>
      </c>
      <c r="K26" t="s">
        <v>886</v>
      </c>
      <c r="L26" t="s">
        <v>887</v>
      </c>
      <c r="M26" t="s">
        <v>817</v>
      </c>
      <c r="N26" t="s">
        <v>888</v>
      </c>
    </row>
    <row r="27" spans="1:14" x14ac:dyDescent="0.3">
      <c r="A27" s="141" t="s">
        <v>920</v>
      </c>
      <c r="B27" s="141" t="s">
        <v>1240</v>
      </c>
      <c r="C27" t="s">
        <v>802</v>
      </c>
      <c r="D27" t="s">
        <v>785</v>
      </c>
      <c r="E27" t="s">
        <v>803</v>
      </c>
      <c r="F27" t="s">
        <v>787</v>
      </c>
      <c r="H27" t="s">
        <v>853</v>
      </c>
      <c r="I27" t="s">
        <v>817</v>
      </c>
      <c r="J27" t="s">
        <v>817</v>
      </c>
      <c r="K27" t="s">
        <v>871</v>
      </c>
      <c r="L27" t="s">
        <v>872</v>
      </c>
      <c r="M27" t="s">
        <v>817</v>
      </c>
      <c r="N27" t="s">
        <v>873</v>
      </c>
    </row>
    <row r="28" spans="1:14" x14ac:dyDescent="0.3">
      <c r="A28" s="141" t="s">
        <v>920</v>
      </c>
      <c r="B28" s="141" t="s">
        <v>1300</v>
      </c>
      <c r="C28" t="s">
        <v>804</v>
      </c>
      <c r="D28" t="s">
        <v>785</v>
      </c>
      <c r="E28" t="s">
        <v>805</v>
      </c>
      <c r="F28" t="s">
        <v>787</v>
      </c>
      <c r="G28" t="s">
        <v>806</v>
      </c>
      <c r="H28" t="s">
        <v>854</v>
      </c>
      <c r="I28" t="s">
        <v>817</v>
      </c>
      <c r="J28" t="s">
        <v>818</v>
      </c>
      <c r="K28" t="s">
        <v>883</v>
      </c>
      <c r="L28" t="s">
        <v>889</v>
      </c>
      <c r="M28" t="s">
        <v>817</v>
      </c>
      <c r="N28" t="s">
        <v>890</v>
      </c>
    </row>
    <row r="29" spans="1:14" x14ac:dyDescent="0.3">
      <c r="A29" s="141" t="s">
        <v>921</v>
      </c>
      <c r="B29" s="141" t="s">
        <v>1112</v>
      </c>
      <c r="C29" t="s">
        <v>784</v>
      </c>
      <c r="D29" t="s">
        <v>785</v>
      </c>
      <c r="E29" t="s">
        <v>786</v>
      </c>
      <c r="F29" t="s">
        <v>787</v>
      </c>
      <c r="H29" t="s">
        <v>788</v>
      </c>
      <c r="I29" t="s">
        <v>817</v>
      </c>
      <c r="J29" t="s">
        <v>817</v>
      </c>
      <c r="K29" t="s">
        <v>891</v>
      </c>
      <c r="L29" t="s">
        <v>892</v>
      </c>
      <c r="M29" t="s">
        <v>817</v>
      </c>
      <c r="N29" t="s">
        <v>893</v>
      </c>
    </row>
    <row r="30" spans="1:14" x14ac:dyDescent="0.3">
      <c r="A30" s="141" t="s">
        <v>921</v>
      </c>
      <c r="B30" s="141" t="s">
        <v>1174</v>
      </c>
      <c r="C30" t="s">
        <v>789</v>
      </c>
      <c r="D30" t="s">
        <v>785</v>
      </c>
      <c r="E30" t="s">
        <v>786</v>
      </c>
      <c r="F30" t="s">
        <v>787</v>
      </c>
      <c r="H30" t="s">
        <v>790</v>
      </c>
      <c r="I30" t="s">
        <v>817</v>
      </c>
      <c r="J30" t="s">
        <v>817</v>
      </c>
      <c r="K30" t="s">
        <v>894</v>
      </c>
      <c r="L30" t="s">
        <v>892</v>
      </c>
      <c r="M30" t="s">
        <v>817</v>
      </c>
      <c r="N30" t="s">
        <v>895</v>
      </c>
    </row>
    <row r="31" spans="1:14" x14ac:dyDescent="0.3">
      <c r="A31" s="141" t="s">
        <v>921</v>
      </c>
      <c r="B31" s="141" t="s">
        <v>1296</v>
      </c>
      <c r="C31" t="s">
        <v>791</v>
      </c>
      <c r="D31" t="s">
        <v>785</v>
      </c>
      <c r="E31" t="s">
        <v>792</v>
      </c>
      <c r="F31" t="s">
        <v>787</v>
      </c>
      <c r="G31" t="s">
        <v>793</v>
      </c>
      <c r="H31" t="s">
        <v>876</v>
      </c>
      <c r="I31" t="s">
        <v>817</v>
      </c>
      <c r="J31" t="s">
        <v>818</v>
      </c>
      <c r="K31" t="s">
        <v>896</v>
      </c>
      <c r="L31" t="s">
        <v>897</v>
      </c>
      <c r="M31" t="s">
        <v>817</v>
      </c>
      <c r="N31" t="s">
        <v>898</v>
      </c>
    </row>
    <row r="32" spans="1:14" x14ac:dyDescent="0.3">
      <c r="A32" s="141" t="s">
        <v>921</v>
      </c>
      <c r="B32" s="141" t="s">
        <v>1297</v>
      </c>
      <c r="C32" t="s">
        <v>795</v>
      </c>
      <c r="D32" t="s">
        <v>812</v>
      </c>
      <c r="F32" t="s">
        <v>787</v>
      </c>
      <c r="H32" t="s">
        <v>814</v>
      </c>
      <c r="I32" t="s">
        <v>818</v>
      </c>
      <c r="J32" t="s">
        <v>818</v>
      </c>
      <c r="K32" t="s">
        <v>899</v>
      </c>
      <c r="L32" t="s">
        <v>900</v>
      </c>
      <c r="M32" t="s">
        <v>818</v>
      </c>
      <c r="N32" t="s">
        <v>901</v>
      </c>
    </row>
    <row r="33" spans="1:14" x14ac:dyDescent="0.3">
      <c r="A33" s="141" t="s">
        <v>921</v>
      </c>
      <c r="B33" s="141" t="s">
        <v>1052</v>
      </c>
      <c r="C33" t="s">
        <v>811</v>
      </c>
      <c r="D33" t="s">
        <v>812</v>
      </c>
      <c r="F33" t="s">
        <v>787</v>
      </c>
      <c r="H33" t="s">
        <v>902</v>
      </c>
      <c r="I33" t="s">
        <v>818</v>
      </c>
      <c r="J33" t="s">
        <v>818</v>
      </c>
      <c r="K33" t="s">
        <v>903</v>
      </c>
      <c r="L33" t="s">
        <v>904</v>
      </c>
      <c r="M33" t="s">
        <v>818</v>
      </c>
      <c r="N33" t="s">
        <v>901</v>
      </c>
    </row>
    <row r="34" spans="1:14" x14ac:dyDescent="0.3">
      <c r="A34" s="141" t="s">
        <v>921</v>
      </c>
      <c r="B34" s="141" t="s">
        <v>1298</v>
      </c>
      <c r="C34" t="s">
        <v>847</v>
      </c>
      <c r="D34" t="s">
        <v>812</v>
      </c>
      <c r="F34" t="s">
        <v>787</v>
      </c>
      <c r="H34" t="s">
        <v>905</v>
      </c>
      <c r="I34" t="s">
        <v>818</v>
      </c>
      <c r="J34" t="s">
        <v>818</v>
      </c>
      <c r="K34" t="s">
        <v>906</v>
      </c>
      <c r="L34" t="s">
        <v>907</v>
      </c>
      <c r="M34" t="s">
        <v>818</v>
      </c>
      <c r="N34" t="s">
        <v>901</v>
      </c>
    </row>
    <row r="35" spans="1:14" x14ac:dyDescent="0.3">
      <c r="A35" s="141" t="s">
        <v>921</v>
      </c>
      <c r="B35" s="141" t="s">
        <v>1299</v>
      </c>
      <c r="C35" t="s">
        <v>801</v>
      </c>
      <c r="D35" t="s">
        <v>812</v>
      </c>
      <c r="F35" t="s">
        <v>787</v>
      </c>
      <c r="H35" t="s">
        <v>908</v>
      </c>
      <c r="I35" t="s">
        <v>818</v>
      </c>
      <c r="J35" t="s">
        <v>818</v>
      </c>
      <c r="K35" t="s">
        <v>909</v>
      </c>
      <c r="L35" t="s">
        <v>910</v>
      </c>
      <c r="M35" t="s">
        <v>818</v>
      </c>
      <c r="N35" t="s">
        <v>901</v>
      </c>
    </row>
    <row r="36" spans="1:14" x14ac:dyDescent="0.3">
      <c r="A36" s="141" t="s">
        <v>921</v>
      </c>
      <c r="B36" s="141" t="s">
        <v>1240</v>
      </c>
      <c r="C36" t="s">
        <v>802</v>
      </c>
      <c r="D36" t="s">
        <v>785</v>
      </c>
      <c r="E36" t="s">
        <v>803</v>
      </c>
      <c r="F36" t="s">
        <v>787</v>
      </c>
      <c r="H36" t="s">
        <v>853</v>
      </c>
      <c r="I36" t="s">
        <v>817</v>
      </c>
      <c r="J36" t="s">
        <v>817</v>
      </c>
      <c r="K36" t="s">
        <v>911</v>
      </c>
      <c r="L36" t="s">
        <v>912</v>
      </c>
      <c r="M36" t="s">
        <v>817</v>
      </c>
      <c r="N36" t="s">
        <v>913</v>
      </c>
    </row>
    <row r="37" spans="1:14" x14ac:dyDescent="0.3">
      <c r="A37" s="141" t="s">
        <v>921</v>
      </c>
      <c r="B37" s="141" t="s">
        <v>1300</v>
      </c>
      <c r="C37" t="s">
        <v>804</v>
      </c>
      <c r="D37" t="s">
        <v>812</v>
      </c>
      <c r="F37" t="s">
        <v>787</v>
      </c>
      <c r="H37" t="s">
        <v>914</v>
      </c>
      <c r="I37" t="s">
        <v>818</v>
      </c>
      <c r="J37" t="s">
        <v>818</v>
      </c>
      <c r="K37" t="s">
        <v>915</v>
      </c>
      <c r="L37" t="s">
        <v>916</v>
      </c>
      <c r="M37" t="s">
        <v>818</v>
      </c>
      <c r="N37" t="s">
        <v>901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16003-0BF5-43A7-8EF0-F80B7594C4DE}">
  <sheetPr codeName="Sheet8">
    <tabColor rgb="FF7030A0"/>
  </sheetPr>
  <dimension ref="A1:L69"/>
  <sheetViews>
    <sheetView workbookViewId="0">
      <selection activeCell="C4" sqref="C4"/>
    </sheetView>
  </sheetViews>
  <sheetFormatPr defaultRowHeight="14.4" x14ac:dyDescent="0.3"/>
  <cols>
    <col min="1" max="1" width="12.6640625" customWidth="1"/>
    <col min="2" max="2" width="14.109375" customWidth="1"/>
    <col min="3" max="3" width="14.77734375" customWidth="1"/>
    <col min="4" max="4" width="12.44140625" customWidth="1"/>
    <col min="5" max="5" width="13.5546875" customWidth="1"/>
    <col min="6" max="6" width="18.33203125" customWidth="1"/>
    <col min="7" max="7" width="17.109375" customWidth="1"/>
    <col min="8" max="8" width="15.33203125" customWidth="1"/>
    <col min="10" max="10" width="14.109375" customWidth="1"/>
    <col min="11" max="11" width="17.6640625" customWidth="1"/>
    <col min="12" max="12" width="13.44140625" customWidth="1"/>
  </cols>
  <sheetData>
    <row r="1" spans="1:12" x14ac:dyDescent="0.3">
      <c r="A1" t="s">
        <v>922</v>
      </c>
      <c r="B1" t="s">
        <v>923</v>
      </c>
      <c r="C1" t="s">
        <v>779</v>
      </c>
      <c r="D1" t="s">
        <v>924</v>
      </c>
      <c r="E1" t="s">
        <v>917</v>
      </c>
      <c r="F1" t="s">
        <v>925</v>
      </c>
      <c r="G1" t="s">
        <v>926</v>
      </c>
      <c r="H1" t="s">
        <v>781</v>
      </c>
      <c r="I1" t="s">
        <v>169</v>
      </c>
      <c r="J1" t="s">
        <v>927</v>
      </c>
      <c r="K1" t="s">
        <v>928</v>
      </c>
      <c r="L1" t="s">
        <v>929</v>
      </c>
    </row>
    <row r="2" spans="1:12" x14ac:dyDescent="0.3">
      <c r="A2" t="s">
        <v>930</v>
      </c>
      <c r="B2" t="s">
        <v>931</v>
      </c>
      <c r="C2" t="s">
        <v>932</v>
      </c>
      <c r="D2" t="s">
        <v>933</v>
      </c>
      <c r="E2" t="s">
        <v>934</v>
      </c>
      <c r="F2" t="s">
        <v>935</v>
      </c>
      <c r="G2" t="s">
        <v>936</v>
      </c>
      <c r="H2" t="s">
        <v>937</v>
      </c>
      <c r="J2" t="s">
        <v>938</v>
      </c>
      <c r="K2" t="s">
        <v>939</v>
      </c>
      <c r="L2" t="s">
        <v>939</v>
      </c>
    </row>
    <row r="3" spans="1:12" x14ac:dyDescent="0.3">
      <c r="A3" t="s">
        <v>930</v>
      </c>
      <c r="B3" t="s">
        <v>931</v>
      </c>
      <c r="C3" t="s">
        <v>932</v>
      </c>
      <c r="D3" t="s">
        <v>933</v>
      </c>
      <c r="E3" t="s">
        <v>940</v>
      </c>
      <c r="F3" t="s">
        <v>935</v>
      </c>
      <c r="G3" t="s">
        <v>936</v>
      </c>
      <c r="H3" t="s">
        <v>937</v>
      </c>
      <c r="I3" t="s">
        <v>941</v>
      </c>
      <c r="J3" t="s">
        <v>938</v>
      </c>
      <c r="K3" t="s">
        <v>939</v>
      </c>
      <c r="L3" t="s">
        <v>939</v>
      </c>
    </row>
    <row r="4" spans="1:12" x14ac:dyDescent="0.3">
      <c r="A4" t="s">
        <v>930</v>
      </c>
      <c r="B4" t="s">
        <v>931</v>
      </c>
      <c r="C4" t="s">
        <v>932</v>
      </c>
      <c r="D4" t="s">
        <v>933</v>
      </c>
      <c r="E4" t="s">
        <v>940</v>
      </c>
      <c r="F4" t="s">
        <v>942</v>
      </c>
      <c r="G4" t="s">
        <v>943</v>
      </c>
      <c r="H4" t="s">
        <v>944</v>
      </c>
      <c r="I4" t="s">
        <v>945</v>
      </c>
      <c r="J4" t="s">
        <v>946</v>
      </c>
      <c r="K4">
        <v>0</v>
      </c>
    </row>
    <row r="5" spans="1:12" x14ac:dyDescent="0.3">
      <c r="A5" t="s">
        <v>930</v>
      </c>
      <c r="B5" t="s">
        <v>947</v>
      </c>
      <c r="C5" t="s">
        <v>948</v>
      </c>
      <c r="D5" t="s">
        <v>949</v>
      </c>
      <c r="E5" t="s">
        <v>934</v>
      </c>
      <c r="F5" t="s">
        <v>935</v>
      </c>
      <c r="G5" t="s">
        <v>936</v>
      </c>
      <c r="H5" t="s">
        <v>950</v>
      </c>
      <c r="J5" t="s">
        <v>938</v>
      </c>
      <c r="K5" t="s">
        <v>939</v>
      </c>
      <c r="L5" t="s">
        <v>939</v>
      </c>
    </row>
    <row r="6" spans="1:12" x14ac:dyDescent="0.3">
      <c r="A6" t="s">
        <v>930</v>
      </c>
      <c r="B6" t="s">
        <v>951</v>
      </c>
      <c r="C6" t="s">
        <v>952</v>
      </c>
      <c r="D6" t="s">
        <v>953</v>
      </c>
      <c r="E6" t="s">
        <v>940</v>
      </c>
      <c r="F6" t="s">
        <v>935</v>
      </c>
      <c r="G6" t="s">
        <v>954</v>
      </c>
      <c r="H6" t="s">
        <v>955</v>
      </c>
      <c r="I6" t="s">
        <v>956</v>
      </c>
      <c r="J6" t="s">
        <v>957</v>
      </c>
      <c r="K6" t="s">
        <v>958</v>
      </c>
      <c r="L6" t="s">
        <v>939</v>
      </c>
    </row>
    <row r="7" spans="1:12" x14ac:dyDescent="0.3">
      <c r="A7" t="s">
        <v>930</v>
      </c>
      <c r="B7" t="s">
        <v>951</v>
      </c>
      <c r="C7" t="s">
        <v>952</v>
      </c>
      <c r="D7" t="s">
        <v>953</v>
      </c>
      <c r="E7" t="s">
        <v>940</v>
      </c>
      <c r="F7" t="s">
        <v>942</v>
      </c>
      <c r="G7" t="s">
        <v>959</v>
      </c>
      <c r="H7" t="s">
        <v>960</v>
      </c>
      <c r="I7" t="s">
        <v>956</v>
      </c>
      <c r="J7" t="s">
        <v>961</v>
      </c>
      <c r="K7" t="s">
        <v>962</v>
      </c>
      <c r="L7" t="s">
        <v>963</v>
      </c>
    </row>
    <row r="8" spans="1:12" x14ac:dyDescent="0.3">
      <c r="A8" t="s">
        <v>930</v>
      </c>
      <c r="B8" t="s">
        <v>964</v>
      </c>
      <c r="C8" t="s">
        <v>965</v>
      </c>
      <c r="D8" t="s">
        <v>966</v>
      </c>
      <c r="E8" t="s">
        <v>940</v>
      </c>
      <c r="F8" t="s">
        <v>935</v>
      </c>
      <c r="G8" t="s">
        <v>967</v>
      </c>
      <c r="H8" t="s">
        <v>968</v>
      </c>
      <c r="I8" t="s">
        <v>969</v>
      </c>
      <c r="J8" t="s">
        <v>970</v>
      </c>
      <c r="K8" t="s">
        <v>971</v>
      </c>
      <c r="L8" t="s">
        <v>972</v>
      </c>
    </row>
    <row r="9" spans="1:12" x14ac:dyDescent="0.3">
      <c r="A9" t="s">
        <v>930</v>
      </c>
      <c r="B9" t="s">
        <v>964</v>
      </c>
      <c r="C9" t="s">
        <v>965</v>
      </c>
      <c r="D9" t="s">
        <v>966</v>
      </c>
      <c r="E9" t="s">
        <v>940</v>
      </c>
      <c r="F9" t="s">
        <v>942</v>
      </c>
      <c r="G9" t="s">
        <v>973</v>
      </c>
      <c r="H9" t="s">
        <v>968</v>
      </c>
      <c r="I9" t="s">
        <v>969</v>
      </c>
      <c r="J9" t="s">
        <v>974</v>
      </c>
      <c r="K9" t="s">
        <v>975</v>
      </c>
      <c r="L9" t="s">
        <v>976</v>
      </c>
    </row>
    <row r="10" spans="1:12" x14ac:dyDescent="0.3">
      <c r="A10" t="s">
        <v>930</v>
      </c>
      <c r="B10" t="s">
        <v>977</v>
      </c>
      <c r="C10" t="s">
        <v>978</v>
      </c>
      <c r="D10" t="s">
        <v>979</v>
      </c>
      <c r="E10" t="s">
        <v>934</v>
      </c>
      <c r="F10" t="s">
        <v>935</v>
      </c>
      <c r="G10" t="s">
        <v>980</v>
      </c>
      <c r="H10" t="s">
        <v>981</v>
      </c>
      <c r="I10" t="s">
        <v>982</v>
      </c>
      <c r="J10" t="s">
        <v>983</v>
      </c>
    </row>
    <row r="11" spans="1:12" x14ac:dyDescent="0.3">
      <c r="A11" t="s">
        <v>930</v>
      </c>
      <c r="B11" t="s">
        <v>977</v>
      </c>
      <c r="C11" t="s">
        <v>978</v>
      </c>
      <c r="D11" t="s">
        <v>979</v>
      </c>
      <c r="E11" t="s">
        <v>940</v>
      </c>
      <c r="F11" t="s">
        <v>935</v>
      </c>
      <c r="G11" t="s">
        <v>984</v>
      </c>
      <c r="H11" t="s">
        <v>985</v>
      </c>
      <c r="I11" t="s">
        <v>986</v>
      </c>
      <c r="J11" t="s">
        <v>987</v>
      </c>
      <c r="K11" t="s">
        <v>988</v>
      </c>
      <c r="L11" t="s">
        <v>989</v>
      </c>
    </row>
    <row r="12" spans="1:12" x14ac:dyDescent="0.3">
      <c r="A12" t="s">
        <v>930</v>
      </c>
      <c r="B12" t="s">
        <v>977</v>
      </c>
      <c r="C12" t="s">
        <v>978</v>
      </c>
      <c r="D12" t="s">
        <v>979</v>
      </c>
      <c r="E12" t="s">
        <v>940</v>
      </c>
      <c r="F12" t="s">
        <v>942</v>
      </c>
      <c r="G12" t="s">
        <v>990</v>
      </c>
      <c r="H12" t="s">
        <v>991</v>
      </c>
      <c r="J12" t="s">
        <v>992</v>
      </c>
      <c r="K12" t="s">
        <v>993</v>
      </c>
      <c r="L12" t="s">
        <v>994</v>
      </c>
    </row>
    <row r="13" spans="1:12" x14ac:dyDescent="0.3">
      <c r="A13" t="s">
        <v>930</v>
      </c>
      <c r="B13" t="s">
        <v>995</v>
      </c>
      <c r="C13" t="s">
        <v>996</v>
      </c>
      <c r="D13" t="s">
        <v>997</v>
      </c>
      <c r="E13" t="s">
        <v>940</v>
      </c>
      <c r="F13" t="s">
        <v>935</v>
      </c>
      <c r="G13" t="s">
        <v>998</v>
      </c>
      <c r="H13" t="s">
        <v>999</v>
      </c>
      <c r="I13" t="s">
        <v>1000</v>
      </c>
      <c r="J13" t="s">
        <v>1001</v>
      </c>
      <c r="K13" t="s">
        <v>1002</v>
      </c>
      <c r="L13" t="s">
        <v>1003</v>
      </c>
    </row>
    <row r="14" spans="1:12" x14ac:dyDescent="0.3">
      <c r="A14" t="s">
        <v>930</v>
      </c>
      <c r="B14" t="s">
        <v>995</v>
      </c>
      <c r="C14" t="s">
        <v>996</v>
      </c>
      <c r="D14" t="s">
        <v>997</v>
      </c>
      <c r="E14" t="s">
        <v>940</v>
      </c>
      <c r="F14" t="s">
        <v>942</v>
      </c>
      <c r="G14" t="s">
        <v>1004</v>
      </c>
      <c r="H14" t="s">
        <v>1005</v>
      </c>
      <c r="J14" t="s">
        <v>1006</v>
      </c>
      <c r="K14" t="s">
        <v>1007</v>
      </c>
      <c r="L14" t="s">
        <v>1008</v>
      </c>
    </row>
    <row r="15" spans="1:12" x14ac:dyDescent="0.3">
      <c r="A15" t="s">
        <v>930</v>
      </c>
      <c r="B15" t="s">
        <v>1009</v>
      </c>
      <c r="C15" t="s">
        <v>1010</v>
      </c>
      <c r="D15" t="s">
        <v>1011</v>
      </c>
      <c r="E15" t="s">
        <v>934</v>
      </c>
      <c r="F15" t="s">
        <v>935</v>
      </c>
      <c r="G15" t="s">
        <v>1012</v>
      </c>
      <c r="H15" t="s">
        <v>981</v>
      </c>
      <c r="J15" t="s">
        <v>983</v>
      </c>
    </row>
    <row r="16" spans="1:12" x14ac:dyDescent="0.3">
      <c r="A16" t="s">
        <v>930</v>
      </c>
      <c r="B16" t="s">
        <v>1009</v>
      </c>
      <c r="C16" t="s">
        <v>1010</v>
      </c>
      <c r="D16" t="s">
        <v>1011</v>
      </c>
      <c r="E16" t="s">
        <v>940</v>
      </c>
      <c r="F16" t="s">
        <v>935</v>
      </c>
      <c r="G16" t="s">
        <v>1013</v>
      </c>
      <c r="H16" t="s">
        <v>1014</v>
      </c>
      <c r="J16" t="s">
        <v>1015</v>
      </c>
      <c r="K16" t="s">
        <v>1016</v>
      </c>
      <c r="L16" t="s">
        <v>1017</v>
      </c>
    </row>
    <row r="17" spans="1:12" x14ac:dyDescent="0.3">
      <c r="A17" t="s">
        <v>930</v>
      </c>
      <c r="B17" t="s">
        <v>1009</v>
      </c>
      <c r="C17" t="s">
        <v>1010</v>
      </c>
      <c r="D17" t="s">
        <v>1011</v>
      </c>
      <c r="E17" t="s">
        <v>940</v>
      </c>
      <c r="F17" t="s">
        <v>942</v>
      </c>
      <c r="G17" t="s">
        <v>1018</v>
      </c>
      <c r="H17" t="s">
        <v>1019</v>
      </c>
      <c r="J17" t="s">
        <v>1020</v>
      </c>
      <c r="K17" t="s">
        <v>1021</v>
      </c>
      <c r="L17" t="s">
        <v>1022</v>
      </c>
    </row>
    <row r="18" spans="1:12" x14ac:dyDescent="0.3">
      <c r="A18" t="s">
        <v>930</v>
      </c>
      <c r="B18" t="s">
        <v>1023</v>
      </c>
      <c r="C18" t="s">
        <v>1024</v>
      </c>
      <c r="D18" t="s">
        <v>1025</v>
      </c>
      <c r="E18" t="s">
        <v>940</v>
      </c>
      <c r="F18" t="s">
        <v>935</v>
      </c>
      <c r="G18" t="s">
        <v>1026</v>
      </c>
      <c r="H18" t="s">
        <v>1027</v>
      </c>
      <c r="J18" t="s">
        <v>1028</v>
      </c>
      <c r="K18" t="s">
        <v>1029</v>
      </c>
      <c r="L18" t="s">
        <v>1030</v>
      </c>
    </row>
    <row r="19" spans="1:12" x14ac:dyDescent="0.3">
      <c r="A19" t="s">
        <v>930</v>
      </c>
      <c r="B19" t="s">
        <v>1023</v>
      </c>
      <c r="C19" t="s">
        <v>1024</v>
      </c>
      <c r="D19" t="s">
        <v>1025</v>
      </c>
      <c r="E19" t="s">
        <v>940</v>
      </c>
      <c r="F19" t="s">
        <v>942</v>
      </c>
      <c r="G19" t="s">
        <v>1031</v>
      </c>
      <c r="H19" t="s">
        <v>1032</v>
      </c>
      <c r="J19" t="s">
        <v>1033</v>
      </c>
      <c r="K19" t="s">
        <v>1034</v>
      </c>
      <c r="L19" t="s">
        <v>1035</v>
      </c>
    </row>
    <row r="20" spans="1:12" x14ac:dyDescent="0.3">
      <c r="A20" t="s">
        <v>930</v>
      </c>
      <c r="B20" t="s">
        <v>1036</v>
      </c>
      <c r="C20" t="s">
        <v>1037</v>
      </c>
      <c r="D20" t="s">
        <v>933</v>
      </c>
      <c r="E20" t="s">
        <v>934</v>
      </c>
      <c r="F20" t="s">
        <v>935</v>
      </c>
      <c r="G20" t="s">
        <v>1038</v>
      </c>
      <c r="H20" t="s">
        <v>1039</v>
      </c>
      <c r="J20" t="s">
        <v>983</v>
      </c>
    </row>
    <row r="21" spans="1:12" x14ac:dyDescent="0.3">
      <c r="A21" t="s">
        <v>930</v>
      </c>
      <c r="B21" t="s">
        <v>1036</v>
      </c>
      <c r="C21" t="s">
        <v>1037</v>
      </c>
      <c r="D21" t="s">
        <v>933</v>
      </c>
      <c r="E21" t="s">
        <v>940</v>
      </c>
      <c r="F21" t="s">
        <v>935</v>
      </c>
      <c r="G21" t="s">
        <v>1040</v>
      </c>
      <c r="H21" t="s">
        <v>1041</v>
      </c>
      <c r="I21" t="s">
        <v>1042</v>
      </c>
      <c r="J21" t="s">
        <v>1043</v>
      </c>
      <c r="K21" t="s">
        <v>1044</v>
      </c>
      <c r="L21" t="s">
        <v>1045</v>
      </c>
    </row>
    <row r="22" spans="1:12" x14ac:dyDescent="0.3">
      <c r="A22" t="s">
        <v>930</v>
      </c>
      <c r="B22" t="s">
        <v>1036</v>
      </c>
      <c r="C22" t="s">
        <v>1037</v>
      </c>
      <c r="D22" t="s">
        <v>933</v>
      </c>
      <c r="E22" t="s">
        <v>940</v>
      </c>
      <c r="F22" t="s">
        <v>942</v>
      </c>
      <c r="G22" t="s">
        <v>1046</v>
      </c>
      <c r="H22" t="s">
        <v>1047</v>
      </c>
      <c r="I22" t="s">
        <v>1048</v>
      </c>
      <c r="J22" t="s">
        <v>1049</v>
      </c>
      <c r="K22" t="s">
        <v>1050</v>
      </c>
      <c r="L22" t="s">
        <v>1051</v>
      </c>
    </row>
    <row r="23" spans="1:12" x14ac:dyDescent="0.3">
      <c r="A23" t="s">
        <v>930</v>
      </c>
      <c r="B23" t="s">
        <v>1052</v>
      </c>
      <c r="C23" t="s">
        <v>1053</v>
      </c>
      <c r="D23" t="s">
        <v>1054</v>
      </c>
      <c r="E23" t="s">
        <v>940</v>
      </c>
      <c r="F23" t="s">
        <v>935</v>
      </c>
      <c r="G23" t="s">
        <v>1055</v>
      </c>
      <c r="H23" t="s">
        <v>1056</v>
      </c>
      <c r="I23" t="s">
        <v>1057</v>
      </c>
      <c r="J23" t="s">
        <v>1058</v>
      </c>
      <c r="K23" t="s">
        <v>1059</v>
      </c>
      <c r="L23" t="s">
        <v>1060</v>
      </c>
    </row>
    <row r="24" spans="1:12" x14ac:dyDescent="0.3">
      <c r="A24" t="s">
        <v>930</v>
      </c>
      <c r="B24" t="s">
        <v>1052</v>
      </c>
      <c r="C24" t="s">
        <v>1053</v>
      </c>
      <c r="D24" t="s">
        <v>1054</v>
      </c>
      <c r="E24" t="s">
        <v>940</v>
      </c>
      <c r="F24" t="s">
        <v>942</v>
      </c>
      <c r="G24" t="s">
        <v>1061</v>
      </c>
      <c r="H24" t="s">
        <v>1062</v>
      </c>
      <c r="J24" t="s">
        <v>1058</v>
      </c>
      <c r="K24" t="s">
        <v>1059</v>
      </c>
      <c r="L24" t="s">
        <v>1060</v>
      </c>
    </row>
    <row r="25" spans="1:12" x14ac:dyDescent="0.3">
      <c r="A25" t="s">
        <v>930</v>
      </c>
      <c r="B25" t="s">
        <v>1052</v>
      </c>
      <c r="C25" t="s">
        <v>1063</v>
      </c>
      <c r="D25" t="s">
        <v>1064</v>
      </c>
      <c r="E25" t="s">
        <v>934</v>
      </c>
      <c r="F25" t="s">
        <v>935</v>
      </c>
      <c r="G25" t="s">
        <v>1065</v>
      </c>
      <c r="H25" t="s">
        <v>1066</v>
      </c>
      <c r="J25" t="s">
        <v>1067</v>
      </c>
      <c r="K25" t="s">
        <v>1068</v>
      </c>
      <c r="L25" t="s">
        <v>1069</v>
      </c>
    </row>
    <row r="26" spans="1:12" x14ac:dyDescent="0.3">
      <c r="A26" t="s">
        <v>930</v>
      </c>
      <c r="B26" t="s">
        <v>298</v>
      </c>
      <c r="C26" t="s">
        <v>1070</v>
      </c>
      <c r="D26" t="s">
        <v>1071</v>
      </c>
      <c r="E26" t="s">
        <v>940</v>
      </c>
      <c r="F26" t="s">
        <v>935</v>
      </c>
      <c r="G26" t="s">
        <v>1072</v>
      </c>
      <c r="H26" t="s">
        <v>1073</v>
      </c>
      <c r="I26" t="s">
        <v>1074</v>
      </c>
      <c r="J26" t="s">
        <v>1075</v>
      </c>
      <c r="K26" t="s">
        <v>1076</v>
      </c>
      <c r="L26" t="s">
        <v>1077</v>
      </c>
    </row>
    <row r="27" spans="1:12" x14ac:dyDescent="0.3">
      <c r="A27" t="s">
        <v>930</v>
      </c>
      <c r="B27" t="s">
        <v>298</v>
      </c>
      <c r="C27" t="s">
        <v>1070</v>
      </c>
      <c r="D27" t="s">
        <v>1071</v>
      </c>
      <c r="E27" t="s">
        <v>940</v>
      </c>
      <c r="F27" t="s">
        <v>942</v>
      </c>
      <c r="G27" t="s">
        <v>1061</v>
      </c>
      <c r="H27" t="s">
        <v>1078</v>
      </c>
      <c r="I27" t="s">
        <v>1079</v>
      </c>
      <c r="J27" t="s">
        <v>1075</v>
      </c>
      <c r="K27" t="s">
        <v>1076</v>
      </c>
      <c r="L27" t="s">
        <v>1077</v>
      </c>
    </row>
    <row r="28" spans="1:12" x14ac:dyDescent="0.3">
      <c r="A28" t="s">
        <v>930</v>
      </c>
      <c r="B28" t="s">
        <v>298</v>
      </c>
      <c r="C28" t="s">
        <v>1080</v>
      </c>
      <c r="D28" t="s">
        <v>1081</v>
      </c>
      <c r="E28" t="s">
        <v>934</v>
      </c>
      <c r="F28" t="s">
        <v>935</v>
      </c>
      <c r="G28" t="s">
        <v>1082</v>
      </c>
      <c r="H28" t="s">
        <v>1083</v>
      </c>
      <c r="J28" t="s">
        <v>1084</v>
      </c>
      <c r="K28" t="s">
        <v>1085</v>
      </c>
      <c r="L28" t="s">
        <v>1085</v>
      </c>
    </row>
    <row r="29" spans="1:12" x14ac:dyDescent="0.3">
      <c r="A29" t="s">
        <v>930</v>
      </c>
      <c r="B29" t="s">
        <v>299</v>
      </c>
      <c r="C29" t="s">
        <v>1086</v>
      </c>
      <c r="D29" t="s">
        <v>1071</v>
      </c>
      <c r="E29" t="s">
        <v>940</v>
      </c>
      <c r="F29" t="s">
        <v>935</v>
      </c>
      <c r="G29" t="s">
        <v>1087</v>
      </c>
      <c r="H29" t="s">
        <v>1088</v>
      </c>
      <c r="I29" t="s">
        <v>1089</v>
      </c>
      <c r="J29" t="s">
        <v>1090</v>
      </c>
      <c r="K29" t="s">
        <v>1068</v>
      </c>
      <c r="L29" t="s">
        <v>1069</v>
      </c>
    </row>
    <row r="30" spans="1:12" x14ac:dyDescent="0.3">
      <c r="A30" t="s">
        <v>930</v>
      </c>
      <c r="B30" t="s">
        <v>299</v>
      </c>
      <c r="C30" t="s">
        <v>1086</v>
      </c>
      <c r="D30" t="s">
        <v>1071</v>
      </c>
      <c r="E30" t="s">
        <v>940</v>
      </c>
      <c r="F30" t="s">
        <v>942</v>
      </c>
      <c r="G30" t="s">
        <v>1061</v>
      </c>
      <c r="H30" t="s">
        <v>1078</v>
      </c>
      <c r="J30" t="s">
        <v>1090</v>
      </c>
      <c r="K30" t="s">
        <v>1068</v>
      </c>
      <c r="L30" t="s">
        <v>1069</v>
      </c>
    </row>
    <row r="31" spans="1:12" x14ac:dyDescent="0.3">
      <c r="A31" t="s">
        <v>930</v>
      </c>
      <c r="B31" t="s">
        <v>299</v>
      </c>
      <c r="C31" t="s">
        <v>1091</v>
      </c>
      <c r="D31" t="s">
        <v>1081</v>
      </c>
      <c r="E31" t="s">
        <v>934</v>
      </c>
      <c r="F31" t="s">
        <v>935</v>
      </c>
      <c r="G31" t="s">
        <v>1092</v>
      </c>
      <c r="H31" t="s">
        <v>1093</v>
      </c>
      <c r="J31" t="s">
        <v>1094</v>
      </c>
      <c r="K31" t="s">
        <v>1095</v>
      </c>
      <c r="L31" t="s">
        <v>1095</v>
      </c>
    </row>
    <row r="32" spans="1:12" x14ac:dyDescent="0.3">
      <c r="A32" t="s">
        <v>930</v>
      </c>
      <c r="B32" t="s">
        <v>1096</v>
      </c>
      <c r="C32" t="s">
        <v>1097</v>
      </c>
      <c r="D32" t="s">
        <v>1098</v>
      </c>
      <c r="E32" t="s">
        <v>934</v>
      </c>
      <c r="F32" t="s">
        <v>935</v>
      </c>
      <c r="G32" t="s">
        <v>1099</v>
      </c>
      <c r="H32" t="s">
        <v>1100</v>
      </c>
      <c r="J32" t="s">
        <v>983</v>
      </c>
    </row>
    <row r="33" spans="1:12" x14ac:dyDescent="0.3">
      <c r="A33" t="s">
        <v>930</v>
      </c>
      <c r="B33" t="s">
        <v>1096</v>
      </c>
      <c r="C33" t="s">
        <v>1097</v>
      </c>
      <c r="D33" t="s">
        <v>1098</v>
      </c>
      <c r="E33" t="s">
        <v>940</v>
      </c>
      <c r="F33" t="s">
        <v>935</v>
      </c>
      <c r="G33" t="s">
        <v>1101</v>
      </c>
      <c r="H33" t="s">
        <v>1102</v>
      </c>
      <c r="I33" t="s">
        <v>1103</v>
      </c>
      <c r="J33" t="s">
        <v>1104</v>
      </c>
      <c r="K33" t="s">
        <v>1105</v>
      </c>
      <c r="L33" t="s">
        <v>1105</v>
      </c>
    </row>
    <row r="34" spans="1:12" x14ac:dyDescent="0.3">
      <c r="A34" t="s">
        <v>930</v>
      </c>
      <c r="B34" t="s">
        <v>1096</v>
      </c>
      <c r="C34" t="s">
        <v>1097</v>
      </c>
      <c r="D34" t="s">
        <v>1098</v>
      </c>
      <c r="E34" t="s">
        <v>940</v>
      </c>
      <c r="F34" t="s">
        <v>942</v>
      </c>
      <c r="G34" t="s">
        <v>1106</v>
      </c>
      <c r="H34" t="s">
        <v>1107</v>
      </c>
      <c r="I34" t="s">
        <v>1108</v>
      </c>
      <c r="J34" t="s">
        <v>1109</v>
      </c>
      <c r="K34" t="s">
        <v>1110</v>
      </c>
      <c r="L34" t="s">
        <v>1111</v>
      </c>
    </row>
    <row r="35" spans="1:12" x14ac:dyDescent="0.3">
      <c r="A35" t="s">
        <v>930</v>
      </c>
      <c r="B35" t="s">
        <v>1112</v>
      </c>
      <c r="C35" t="s">
        <v>1113</v>
      </c>
      <c r="D35" t="s">
        <v>1114</v>
      </c>
      <c r="E35" t="s">
        <v>934</v>
      </c>
      <c r="F35" t="s">
        <v>935</v>
      </c>
      <c r="G35" t="s">
        <v>1115</v>
      </c>
      <c r="H35" t="s">
        <v>245</v>
      </c>
      <c r="J35" t="s">
        <v>1116</v>
      </c>
      <c r="K35" t="s">
        <v>1117</v>
      </c>
      <c r="L35" t="s">
        <v>1117</v>
      </c>
    </row>
    <row r="36" spans="1:12" x14ac:dyDescent="0.3">
      <c r="A36" t="s">
        <v>930</v>
      </c>
      <c r="B36" t="s">
        <v>1112</v>
      </c>
      <c r="C36" t="s">
        <v>1118</v>
      </c>
      <c r="D36" t="s">
        <v>1119</v>
      </c>
      <c r="E36" t="s">
        <v>934</v>
      </c>
      <c r="F36" t="s">
        <v>935</v>
      </c>
      <c r="G36" t="s">
        <v>1099</v>
      </c>
      <c r="H36" t="s">
        <v>1120</v>
      </c>
      <c r="I36" t="s">
        <v>1121</v>
      </c>
      <c r="J36" t="s">
        <v>983</v>
      </c>
    </row>
    <row r="37" spans="1:12" x14ac:dyDescent="0.3">
      <c r="A37" t="s">
        <v>930</v>
      </c>
      <c r="B37" t="s">
        <v>1112</v>
      </c>
      <c r="C37" t="s">
        <v>1113</v>
      </c>
      <c r="D37" t="s">
        <v>1098</v>
      </c>
      <c r="E37" t="s">
        <v>940</v>
      </c>
      <c r="F37" t="s">
        <v>935</v>
      </c>
      <c r="G37" t="s">
        <v>1122</v>
      </c>
      <c r="H37" t="s">
        <v>1123</v>
      </c>
      <c r="I37" t="s">
        <v>1124</v>
      </c>
      <c r="J37" t="s">
        <v>1125</v>
      </c>
      <c r="K37" t="s">
        <v>1126</v>
      </c>
      <c r="L37" t="s">
        <v>1117</v>
      </c>
    </row>
    <row r="38" spans="1:12" x14ac:dyDescent="0.3">
      <c r="A38" t="s">
        <v>930</v>
      </c>
      <c r="B38" t="s">
        <v>1112</v>
      </c>
      <c r="C38" t="s">
        <v>1113</v>
      </c>
      <c r="D38" t="s">
        <v>1098</v>
      </c>
      <c r="E38" t="s">
        <v>940</v>
      </c>
      <c r="F38" t="s">
        <v>942</v>
      </c>
      <c r="G38" t="s">
        <v>1127</v>
      </c>
      <c r="H38" t="s">
        <v>1128</v>
      </c>
      <c r="I38" t="s">
        <v>1129</v>
      </c>
      <c r="J38" t="s">
        <v>1130</v>
      </c>
      <c r="K38" t="s">
        <v>1131</v>
      </c>
      <c r="L38" t="s">
        <v>1117</v>
      </c>
    </row>
    <row r="39" spans="1:12" x14ac:dyDescent="0.3">
      <c r="A39" t="s">
        <v>930</v>
      </c>
      <c r="B39" t="s">
        <v>1132</v>
      </c>
      <c r="C39" t="s">
        <v>1133</v>
      </c>
      <c r="D39" t="s">
        <v>1134</v>
      </c>
      <c r="E39" t="s">
        <v>940</v>
      </c>
      <c r="F39" t="s">
        <v>935</v>
      </c>
      <c r="G39" t="s">
        <v>1135</v>
      </c>
      <c r="H39" t="s">
        <v>1136</v>
      </c>
      <c r="J39" t="s">
        <v>1137</v>
      </c>
      <c r="K39" t="s">
        <v>1138</v>
      </c>
      <c r="L39" t="s">
        <v>1139</v>
      </c>
    </row>
    <row r="40" spans="1:12" x14ac:dyDescent="0.3">
      <c r="A40" t="s">
        <v>930</v>
      </c>
      <c r="B40" t="s">
        <v>1132</v>
      </c>
      <c r="C40" t="s">
        <v>1133</v>
      </c>
      <c r="D40" t="s">
        <v>1134</v>
      </c>
      <c r="E40" t="s">
        <v>940</v>
      </c>
      <c r="F40" t="s">
        <v>942</v>
      </c>
      <c r="G40" t="s">
        <v>1140</v>
      </c>
      <c r="H40" t="s">
        <v>1141</v>
      </c>
      <c r="I40" t="s">
        <v>1142</v>
      </c>
      <c r="J40" t="s">
        <v>1143</v>
      </c>
      <c r="K40" t="s">
        <v>1144</v>
      </c>
      <c r="L40" t="s">
        <v>1139</v>
      </c>
    </row>
    <row r="41" spans="1:12" x14ac:dyDescent="0.3">
      <c r="A41" t="s">
        <v>930</v>
      </c>
      <c r="B41" t="s">
        <v>1145</v>
      </c>
      <c r="C41" t="s">
        <v>1146</v>
      </c>
      <c r="D41" t="s">
        <v>1147</v>
      </c>
      <c r="E41" t="s">
        <v>934</v>
      </c>
      <c r="F41" t="s">
        <v>935</v>
      </c>
      <c r="G41" t="s">
        <v>1148</v>
      </c>
      <c r="H41" t="s">
        <v>1149</v>
      </c>
      <c r="I41" t="s">
        <v>1150</v>
      </c>
      <c r="J41" t="s">
        <v>1151</v>
      </c>
      <c r="K41" t="s">
        <v>1152</v>
      </c>
      <c r="L41" t="s">
        <v>1152</v>
      </c>
    </row>
    <row r="42" spans="1:12" x14ac:dyDescent="0.3">
      <c r="A42" t="s">
        <v>930</v>
      </c>
      <c r="B42" t="s">
        <v>1145</v>
      </c>
      <c r="C42" t="s">
        <v>1146</v>
      </c>
      <c r="D42" t="s">
        <v>1147</v>
      </c>
      <c r="E42" t="s">
        <v>940</v>
      </c>
      <c r="F42" t="s">
        <v>935</v>
      </c>
      <c r="G42" t="s">
        <v>1153</v>
      </c>
      <c r="H42" t="s">
        <v>1154</v>
      </c>
      <c r="J42" t="s">
        <v>1155</v>
      </c>
      <c r="K42" t="s">
        <v>1156</v>
      </c>
      <c r="L42" t="s">
        <v>1152</v>
      </c>
    </row>
    <row r="43" spans="1:12" x14ac:dyDescent="0.3">
      <c r="A43" t="s">
        <v>930</v>
      </c>
      <c r="B43" t="s">
        <v>1145</v>
      </c>
      <c r="C43" t="s">
        <v>1146</v>
      </c>
      <c r="D43" t="s">
        <v>1147</v>
      </c>
      <c r="E43" t="s">
        <v>940</v>
      </c>
      <c r="F43" t="s">
        <v>942</v>
      </c>
      <c r="G43" t="s">
        <v>1157</v>
      </c>
      <c r="H43" t="s">
        <v>1158</v>
      </c>
      <c r="I43" t="s">
        <v>1159</v>
      </c>
      <c r="J43" t="s">
        <v>1160</v>
      </c>
      <c r="K43" t="s">
        <v>1161</v>
      </c>
      <c r="L43" t="s">
        <v>1152</v>
      </c>
    </row>
    <row r="44" spans="1:12" x14ac:dyDescent="0.3">
      <c r="A44" t="s">
        <v>930</v>
      </c>
      <c r="B44" t="s">
        <v>1162</v>
      </c>
      <c r="C44" t="s">
        <v>1163</v>
      </c>
      <c r="D44" t="s">
        <v>1147</v>
      </c>
      <c r="E44" t="s">
        <v>940</v>
      </c>
      <c r="F44" t="s">
        <v>935</v>
      </c>
      <c r="G44" t="s">
        <v>1164</v>
      </c>
      <c r="H44" t="s">
        <v>1165</v>
      </c>
      <c r="J44" t="s">
        <v>1166</v>
      </c>
      <c r="K44" t="s">
        <v>1167</v>
      </c>
      <c r="L44" t="s">
        <v>1168</v>
      </c>
    </row>
    <row r="45" spans="1:12" x14ac:dyDescent="0.3">
      <c r="A45" t="s">
        <v>930</v>
      </c>
      <c r="B45" t="s">
        <v>1162</v>
      </c>
      <c r="C45" t="s">
        <v>1163</v>
      </c>
      <c r="D45" t="s">
        <v>1147</v>
      </c>
      <c r="E45" t="s">
        <v>940</v>
      </c>
      <c r="F45" t="s">
        <v>942</v>
      </c>
      <c r="G45" t="s">
        <v>1169</v>
      </c>
      <c r="H45" t="s">
        <v>1170</v>
      </c>
      <c r="J45" t="s">
        <v>1171</v>
      </c>
      <c r="K45" t="s">
        <v>1172</v>
      </c>
      <c r="L45" t="s">
        <v>1173</v>
      </c>
    </row>
    <row r="46" spans="1:12" x14ac:dyDescent="0.3">
      <c r="A46" t="s">
        <v>930</v>
      </c>
      <c r="B46" t="s">
        <v>1174</v>
      </c>
      <c r="C46" t="s">
        <v>1175</v>
      </c>
      <c r="D46" t="s">
        <v>1098</v>
      </c>
      <c r="E46" t="s">
        <v>934</v>
      </c>
      <c r="F46" t="s">
        <v>935</v>
      </c>
      <c r="G46" t="s">
        <v>1176</v>
      </c>
      <c r="H46" t="s">
        <v>1177</v>
      </c>
      <c r="I46" t="s">
        <v>1178</v>
      </c>
      <c r="J46" t="s">
        <v>1179</v>
      </c>
      <c r="K46" t="s">
        <v>1180</v>
      </c>
      <c r="L46" t="s">
        <v>1181</v>
      </c>
    </row>
    <row r="47" spans="1:12" x14ac:dyDescent="0.3">
      <c r="A47" t="s">
        <v>930</v>
      </c>
      <c r="B47" t="s">
        <v>1174</v>
      </c>
      <c r="C47" t="s">
        <v>1175</v>
      </c>
      <c r="D47" t="s">
        <v>1098</v>
      </c>
      <c r="E47" t="s">
        <v>940</v>
      </c>
      <c r="F47" t="s">
        <v>935</v>
      </c>
      <c r="G47" t="s">
        <v>1182</v>
      </c>
      <c r="H47" t="s">
        <v>1183</v>
      </c>
      <c r="I47" t="s">
        <v>1184</v>
      </c>
      <c r="J47" t="s">
        <v>1185</v>
      </c>
      <c r="K47" t="s">
        <v>1186</v>
      </c>
      <c r="L47" t="s">
        <v>1187</v>
      </c>
    </row>
    <row r="48" spans="1:12" x14ac:dyDescent="0.3">
      <c r="A48" t="s">
        <v>930</v>
      </c>
      <c r="B48" t="s">
        <v>1174</v>
      </c>
      <c r="C48" t="s">
        <v>1175</v>
      </c>
      <c r="D48" t="s">
        <v>1098</v>
      </c>
      <c r="E48" t="s">
        <v>940</v>
      </c>
      <c r="F48" t="s">
        <v>942</v>
      </c>
      <c r="G48" t="s">
        <v>1188</v>
      </c>
      <c r="H48" t="s">
        <v>1189</v>
      </c>
      <c r="J48" t="s">
        <v>1190</v>
      </c>
      <c r="K48" t="s">
        <v>1191</v>
      </c>
      <c r="L48" t="s">
        <v>1192</v>
      </c>
    </row>
    <row r="49" spans="1:12" x14ac:dyDescent="0.3">
      <c r="A49" t="s">
        <v>930</v>
      </c>
      <c r="B49" t="s">
        <v>1193</v>
      </c>
      <c r="C49" t="s">
        <v>1194</v>
      </c>
      <c r="D49" t="s">
        <v>1098</v>
      </c>
      <c r="E49" t="s">
        <v>934</v>
      </c>
      <c r="F49" t="s">
        <v>935</v>
      </c>
      <c r="G49" t="s">
        <v>1099</v>
      </c>
      <c r="H49" t="s">
        <v>1100</v>
      </c>
      <c r="J49" t="s">
        <v>983</v>
      </c>
    </row>
    <row r="50" spans="1:12" x14ac:dyDescent="0.3">
      <c r="A50" t="s">
        <v>930</v>
      </c>
      <c r="B50" t="s">
        <v>1193</v>
      </c>
      <c r="C50" t="s">
        <v>1194</v>
      </c>
      <c r="D50" t="s">
        <v>1098</v>
      </c>
      <c r="E50" t="s">
        <v>940</v>
      </c>
      <c r="F50" t="s">
        <v>935</v>
      </c>
      <c r="G50" t="s">
        <v>1195</v>
      </c>
      <c r="H50" t="s">
        <v>1196</v>
      </c>
      <c r="I50" t="s">
        <v>1197</v>
      </c>
      <c r="J50" t="s">
        <v>1198</v>
      </c>
      <c r="K50" t="s">
        <v>1199</v>
      </c>
      <c r="L50" t="s">
        <v>1200</v>
      </c>
    </row>
    <row r="51" spans="1:12" x14ac:dyDescent="0.3">
      <c r="A51" t="s">
        <v>930</v>
      </c>
      <c r="B51" t="s">
        <v>1193</v>
      </c>
      <c r="C51" t="s">
        <v>1194</v>
      </c>
      <c r="D51" t="s">
        <v>1098</v>
      </c>
      <c r="E51" t="s">
        <v>940</v>
      </c>
      <c r="F51" t="s">
        <v>942</v>
      </c>
      <c r="G51" t="s">
        <v>1201</v>
      </c>
      <c r="H51" t="s">
        <v>1189</v>
      </c>
      <c r="I51" t="s">
        <v>1202</v>
      </c>
      <c r="J51" t="s">
        <v>1203</v>
      </c>
      <c r="K51" t="s">
        <v>1204</v>
      </c>
      <c r="L51" t="s">
        <v>1205</v>
      </c>
    </row>
    <row r="52" spans="1:12" x14ac:dyDescent="0.3">
      <c r="A52" t="s">
        <v>930</v>
      </c>
      <c r="B52" t="s">
        <v>1206</v>
      </c>
      <c r="C52" t="s">
        <v>1207</v>
      </c>
      <c r="D52" t="s">
        <v>1098</v>
      </c>
      <c r="E52" t="s">
        <v>934</v>
      </c>
      <c r="F52" t="s">
        <v>935</v>
      </c>
      <c r="G52" t="s">
        <v>1208</v>
      </c>
      <c r="H52" t="s">
        <v>1209</v>
      </c>
      <c r="I52" t="s">
        <v>1210</v>
      </c>
      <c r="J52" t="s">
        <v>1211</v>
      </c>
      <c r="K52" t="s">
        <v>1180</v>
      </c>
      <c r="L52" t="s">
        <v>1181</v>
      </c>
    </row>
    <row r="53" spans="1:12" x14ac:dyDescent="0.3">
      <c r="A53" t="s">
        <v>930</v>
      </c>
      <c r="B53" t="s">
        <v>1206</v>
      </c>
      <c r="C53" t="s">
        <v>1207</v>
      </c>
      <c r="D53" t="s">
        <v>1098</v>
      </c>
      <c r="E53" t="s">
        <v>940</v>
      </c>
      <c r="F53" t="s">
        <v>935</v>
      </c>
      <c r="G53" t="s">
        <v>1212</v>
      </c>
      <c r="H53" t="s">
        <v>1213</v>
      </c>
      <c r="I53" t="s">
        <v>1214</v>
      </c>
      <c r="J53" t="s">
        <v>1215</v>
      </c>
      <c r="K53" t="s">
        <v>1186</v>
      </c>
      <c r="L53" t="s">
        <v>1187</v>
      </c>
    </row>
    <row r="54" spans="1:12" x14ac:dyDescent="0.3">
      <c r="A54" t="s">
        <v>930</v>
      </c>
      <c r="B54" t="s">
        <v>1206</v>
      </c>
      <c r="C54" t="s">
        <v>1207</v>
      </c>
      <c r="D54" t="s">
        <v>1098</v>
      </c>
      <c r="E54" t="s">
        <v>940</v>
      </c>
      <c r="F54" t="s">
        <v>942</v>
      </c>
      <c r="G54" t="s">
        <v>1216</v>
      </c>
      <c r="H54" t="s">
        <v>1189</v>
      </c>
      <c r="I54" t="s">
        <v>1129</v>
      </c>
      <c r="J54" t="s">
        <v>1217</v>
      </c>
      <c r="K54" t="s">
        <v>1218</v>
      </c>
      <c r="L54" t="s">
        <v>1219</v>
      </c>
    </row>
    <row r="55" spans="1:12" x14ac:dyDescent="0.3">
      <c r="A55" t="s">
        <v>930</v>
      </c>
      <c r="B55" t="s">
        <v>1220</v>
      </c>
      <c r="C55" t="s">
        <v>1221</v>
      </c>
      <c r="D55" t="s">
        <v>1098</v>
      </c>
      <c r="E55" t="s">
        <v>934</v>
      </c>
      <c r="F55" t="s">
        <v>935</v>
      </c>
      <c r="G55" t="s">
        <v>1099</v>
      </c>
      <c r="H55" t="s">
        <v>1100</v>
      </c>
      <c r="J55" t="s">
        <v>983</v>
      </c>
    </row>
    <row r="56" spans="1:12" x14ac:dyDescent="0.3">
      <c r="A56" t="s">
        <v>930</v>
      </c>
      <c r="B56" t="s">
        <v>1220</v>
      </c>
      <c r="C56" t="s">
        <v>1221</v>
      </c>
      <c r="D56" t="s">
        <v>1098</v>
      </c>
      <c r="E56" t="s">
        <v>940</v>
      </c>
      <c r="F56" t="s">
        <v>935</v>
      </c>
      <c r="G56" t="s">
        <v>1222</v>
      </c>
      <c r="H56" t="s">
        <v>1223</v>
      </c>
      <c r="I56" t="s">
        <v>1224</v>
      </c>
      <c r="J56" t="s">
        <v>1225</v>
      </c>
      <c r="K56" t="s">
        <v>1226</v>
      </c>
      <c r="L56" t="s">
        <v>1227</v>
      </c>
    </row>
    <row r="57" spans="1:12" x14ac:dyDescent="0.3">
      <c r="A57" t="s">
        <v>930</v>
      </c>
      <c r="B57" t="s">
        <v>1220</v>
      </c>
      <c r="C57" t="s">
        <v>1228</v>
      </c>
      <c r="D57" t="s">
        <v>1098</v>
      </c>
      <c r="E57" t="s">
        <v>940</v>
      </c>
      <c r="F57" t="s">
        <v>935</v>
      </c>
      <c r="G57" t="s">
        <v>1229</v>
      </c>
      <c r="H57" t="s">
        <v>1230</v>
      </c>
      <c r="I57" t="s">
        <v>1231</v>
      </c>
      <c r="J57" t="s">
        <v>1232</v>
      </c>
      <c r="K57" t="s">
        <v>1233</v>
      </c>
      <c r="L57" t="s">
        <v>1234</v>
      </c>
    </row>
    <row r="58" spans="1:12" x14ac:dyDescent="0.3">
      <c r="A58" t="s">
        <v>930</v>
      </c>
      <c r="B58" t="s">
        <v>1220</v>
      </c>
      <c r="C58" t="s">
        <v>1221</v>
      </c>
      <c r="D58" t="s">
        <v>1098</v>
      </c>
      <c r="E58" t="s">
        <v>940</v>
      </c>
      <c r="F58" t="s">
        <v>942</v>
      </c>
      <c r="G58" t="s">
        <v>1235</v>
      </c>
      <c r="H58" t="s">
        <v>1189</v>
      </c>
      <c r="I58" t="s">
        <v>1236</v>
      </c>
      <c r="J58" t="s">
        <v>1237</v>
      </c>
      <c r="K58" t="s">
        <v>1238</v>
      </c>
      <c r="L58" t="s">
        <v>1239</v>
      </c>
    </row>
    <row r="59" spans="1:12" x14ac:dyDescent="0.3">
      <c r="A59" t="s">
        <v>930</v>
      </c>
      <c r="B59" t="s">
        <v>1240</v>
      </c>
      <c r="C59" t="s">
        <v>1241</v>
      </c>
      <c r="D59" t="s">
        <v>1098</v>
      </c>
      <c r="E59" t="s">
        <v>934</v>
      </c>
      <c r="F59" t="s">
        <v>935</v>
      </c>
      <c r="G59" t="s">
        <v>1208</v>
      </c>
      <c r="H59" t="s">
        <v>1242</v>
      </c>
      <c r="I59" t="s">
        <v>1243</v>
      </c>
      <c r="J59" t="s">
        <v>1244</v>
      </c>
      <c r="K59" t="s">
        <v>1180</v>
      </c>
      <c r="L59" t="s">
        <v>1181</v>
      </c>
    </row>
    <row r="60" spans="1:12" x14ac:dyDescent="0.3">
      <c r="A60" t="s">
        <v>930</v>
      </c>
      <c r="B60" t="s">
        <v>1240</v>
      </c>
      <c r="C60" t="s">
        <v>1241</v>
      </c>
      <c r="D60" t="s">
        <v>1098</v>
      </c>
      <c r="E60" t="s">
        <v>940</v>
      </c>
      <c r="F60" t="s">
        <v>935</v>
      </c>
      <c r="G60" t="s">
        <v>1212</v>
      </c>
      <c r="H60" t="s">
        <v>1245</v>
      </c>
      <c r="I60" t="s">
        <v>1246</v>
      </c>
      <c r="J60" t="s">
        <v>1247</v>
      </c>
      <c r="K60" t="s">
        <v>1186</v>
      </c>
      <c r="L60" t="s">
        <v>1187</v>
      </c>
    </row>
    <row r="61" spans="1:12" x14ac:dyDescent="0.3">
      <c r="A61" t="s">
        <v>930</v>
      </c>
      <c r="B61" t="s">
        <v>1240</v>
      </c>
      <c r="C61" t="s">
        <v>1241</v>
      </c>
      <c r="D61" t="s">
        <v>1098</v>
      </c>
      <c r="E61" t="s">
        <v>940</v>
      </c>
      <c r="F61" t="s">
        <v>942</v>
      </c>
      <c r="G61" t="s">
        <v>1248</v>
      </c>
      <c r="H61" t="s">
        <v>1189</v>
      </c>
      <c r="I61" t="s">
        <v>1129</v>
      </c>
      <c r="J61" t="s">
        <v>1249</v>
      </c>
      <c r="K61" t="s">
        <v>1250</v>
      </c>
      <c r="L61" t="s">
        <v>1251</v>
      </c>
    </row>
    <row r="62" spans="1:12" x14ac:dyDescent="0.3">
      <c r="A62" t="s">
        <v>930</v>
      </c>
      <c r="B62" t="s">
        <v>1252</v>
      </c>
      <c r="C62" t="s">
        <v>1253</v>
      </c>
      <c r="D62" t="s">
        <v>1254</v>
      </c>
      <c r="E62" t="s">
        <v>940</v>
      </c>
      <c r="F62" t="s">
        <v>935</v>
      </c>
      <c r="G62" t="s">
        <v>1255</v>
      </c>
      <c r="H62" t="s">
        <v>1256</v>
      </c>
      <c r="J62" t="s">
        <v>1257</v>
      </c>
      <c r="K62" t="s">
        <v>1068</v>
      </c>
      <c r="L62" t="s">
        <v>1069</v>
      </c>
    </row>
    <row r="63" spans="1:12" x14ac:dyDescent="0.3">
      <c r="A63" t="s">
        <v>930</v>
      </c>
      <c r="B63" t="s">
        <v>1258</v>
      </c>
      <c r="C63" t="s">
        <v>1259</v>
      </c>
      <c r="D63" t="s">
        <v>1260</v>
      </c>
      <c r="E63" t="s">
        <v>934</v>
      </c>
      <c r="F63" t="s">
        <v>935</v>
      </c>
      <c r="G63" t="s">
        <v>1261</v>
      </c>
      <c r="H63" t="s">
        <v>1262</v>
      </c>
      <c r="J63" t="s">
        <v>1263</v>
      </c>
      <c r="K63" t="s">
        <v>1068</v>
      </c>
      <c r="L63" t="s">
        <v>1069</v>
      </c>
    </row>
    <row r="64" spans="1:12" x14ac:dyDescent="0.3">
      <c r="A64" t="s">
        <v>930</v>
      </c>
      <c r="B64" t="s">
        <v>1264</v>
      </c>
      <c r="C64" t="s">
        <v>1265</v>
      </c>
      <c r="D64" t="s">
        <v>1254</v>
      </c>
      <c r="E64" t="s">
        <v>940</v>
      </c>
      <c r="F64" t="s">
        <v>935</v>
      </c>
      <c r="G64" t="s">
        <v>1266</v>
      </c>
      <c r="H64" t="s">
        <v>1267</v>
      </c>
      <c r="I64" t="s">
        <v>1268</v>
      </c>
      <c r="J64" t="s">
        <v>1269</v>
      </c>
      <c r="K64" t="s">
        <v>1044</v>
      </c>
      <c r="L64" t="s">
        <v>1045</v>
      </c>
    </row>
    <row r="65" spans="1:12" x14ac:dyDescent="0.3">
      <c r="A65" t="s">
        <v>930</v>
      </c>
      <c r="B65" t="s">
        <v>1270</v>
      </c>
      <c r="C65" t="s">
        <v>1271</v>
      </c>
      <c r="D65" t="s">
        <v>1272</v>
      </c>
      <c r="E65" t="s">
        <v>940</v>
      </c>
      <c r="F65" t="s">
        <v>935</v>
      </c>
      <c r="G65" t="s">
        <v>1273</v>
      </c>
      <c r="H65" t="s">
        <v>1274</v>
      </c>
      <c r="I65" t="s">
        <v>1275</v>
      </c>
      <c r="J65" t="s">
        <v>1269</v>
      </c>
      <c r="K65" t="s">
        <v>1044</v>
      </c>
      <c r="L65" t="s">
        <v>1045</v>
      </c>
    </row>
    <row r="66" spans="1:12" x14ac:dyDescent="0.3">
      <c r="A66" t="s">
        <v>930</v>
      </c>
      <c r="B66" t="s">
        <v>1276</v>
      </c>
      <c r="C66" t="s">
        <v>1277</v>
      </c>
      <c r="D66" t="s">
        <v>1278</v>
      </c>
      <c r="E66" t="s">
        <v>940</v>
      </c>
      <c r="F66" t="s">
        <v>935</v>
      </c>
      <c r="G66" t="s">
        <v>1279</v>
      </c>
      <c r="H66" t="s">
        <v>1280</v>
      </c>
      <c r="I66" t="s">
        <v>1281</v>
      </c>
      <c r="J66" t="s">
        <v>1282</v>
      </c>
      <c r="K66" t="s">
        <v>1283</v>
      </c>
      <c r="L66" t="s">
        <v>1283</v>
      </c>
    </row>
    <row r="67" spans="1:12" x14ac:dyDescent="0.3">
      <c r="A67" t="s">
        <v>1284</v>
      </c>
      <c r="B67" t="s">
        <v>1285</v>
      </c>
      <c r="C67" t="s">
        <v>1286</v>
      </c>
      <c r="G67" t="s">
        <v>1287</v>
      </c>
      <c r="H67" t="s">
        <v>1288</v>
      </c>
    </row>
    <row r="68" spans="1:12" x14ac:dyDescent="0.3">
      <c r="A68" t="s">
        <v>1289</v>
      </c>
      <c r="B68" t="s">
        <v>1290</v>
      </c>
      <c r="C68" t="s">
        <v>1291</v>
      </c>
      <c r="G68" t="s">
        <v>1292</v>
      </c>
      <c r="H68" t="s">
        <v>1288</v>
      </c>
    </row>
    <row r="69" spans="1:12" x14ac:dyDescent="0.3">
      <c r="A69" t="s">
        <v>1289</v>
      </c>
      <c r="B69" t="s">
        <v>1293</v>
      </c>
      <c r="C69" t="s">
        <v>1294</v>
      </c>
      <c r="G69" t="s">
        <v>1295</v>
      </c>
      <c r="H69" t="s">
        <v>1288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8209F-27C7-4D5B-871C-12FA9D45A7B4}">
  <sheetPr codeName="Sheet11">
    <tabColor rgb="FF7030A0"/>
  </sheetPr>
  <dimension ref="A1:G181"/>
  <sheetViews>
    <sheetView workbookViewId="0">
      <selection activeCell="C4" sqref="C4"/>
    </sheetView>
  </sheetViews>
  <sheetFormatPr defaultRowHeight="14.4" x14ac:dyDescent="0.3"/>
  <cols>
    <col min="1" max="1" width="14.5546875" bestFit="1" customWidth="1"/>
    <col min="2" max="2" width="21.33203125" bestFit="1" customWidth="1"/>
    <col min="3" max="3" width="120.88671875" customWidth="1"/>
    <col min="6" max="6" width="15" bestFit="1" customWidth="1"/>
    <col min="7" max="7" width="15.109375" bestFit="1" customWidth="1"/>
    <col min="8" max="8" width="28.88671875" bestFit="1" customWidth="1"/>
    <col min="9" max="9" width="37.88671875" bestFit="1" customWidth="1"/>
  </cols>
  <sheetData>
    <row r="1" spans="1:7" s="1" customFormat="1" x14ac:dyDescent="0.3">
      <c r="A1" s="1" t="s">
        <v>315</v>
      </c>
      <c r="B1" s="1" t="s">
        <v>316</v>
      </c>
      <c r="C1" s="1" t="s">
        <v>319</v>
      </c>
      <c r="G1" s="1" t="s">
        <v>714</v>
      </c>
    </row>
    <row r="2" spans="1:7" x14ac:dyDescent="0.3">
      <c r="A2" t="s">
        <v>256</v>
      </c>
      <c r="B2" t="s">
        <v>242</v>
      </c>
      <c r="C2" s="37" t="s">
        <v>567</v>
      </c>
      <c r="G2" t="s">
        <v>320</v>
      </c>
    </row>
    <row r="3" spans="1:7" x14ac:dyDescent="0.3">
      <c r="A3" t="s">
        <v>256</v>
      </c>
      <c r="B3" t="s">
        <v>248</v>
      </c>
      <c r="C3" s="37" t="s">
        <v>568</v>
      </c>
      <c r="G3" t="s">
        <v>321</v>
      </c>
    </row>
    <row r="4" spans="1:7" x14ac:dyDescent="0.3">
      <c r="A4" t="s">
        <v>257</v>
      </c>
      <c r="B4" t="s">
        <v>241</v>
      </c>
      <c r="C4" s="37" t="s">
        <v>569</v>
      </c>
      <c r="G4" t="s">
        <v>322</v>
      </c>
    </row>
    <row r="5" spans="1:7" x14ac:dyDescent="0.3">
      <c r="A5" t="s">
        <v>257</v>
      </c>
      <c r="B5" t="s">
        <v>242</v>
      </c>
      <c r="C5" s="37" t="s">
        <v>570</v>
      </c>
      <c r="G5" t="s">
        <v>323</v>
      </c>
    </row>
    <row r="6" spans="1:7" x14ac:dyDescent="0.3">
      <c r="A6" t="s">
        <v>257</v>
      </c>
      <c r="B6" t="s">
        <v>240</v>
      </c>
      <c r="C6" s="37" t="s">
        <v>571</v>
      </c>
      <c r="G6" t="s">
        <v>324</v>
      </c>
    </row>
    <row r="7" spans="1:7" x14ac:dyDescent="0.3">
      <c r="A7" t="s">
        <v>258</v>
      </c>
      <c r="B7" t="s">
        <v>241</v>
      </c>
      <c r="C7" s="37" t="s">
        <v>572</v>
      </c>
      <c r="G7" t="s">
        <v>325</v>
      </c>
    </row>
    <row r="8" spans="1:7" x14ac:dyDescent="0.3">
      <c r="A8" t="s">
        <v>258</v>
      </c>
      <c r="B8" t="s">
        <v>242</v>
      </c>
      <c r="C8" s="37" t="s">
        <v>573</v>
      </c>
      <c r="G8" t="s">
        <v>326</v>
      </c>
    </row>
    <row r="9" spans="1:7" x14ac:dyDescent="0.3">
      <c r="A9" t="s">
        <v>258</v>
      </c>
      <c r="B9" t="s">
        <v>240</v>
      </c>
      <c r="C9" s="37" t="s">
        <v>574</v>
      </c>
      <c r="G9" t="s">
        <v>327</v>
      </c>
    </row>
    <row r="10" spans="1:7" x14ac:dyDescent="0.3">
      <c r="A10" t="s">
        <v>250</v>
      </c>
      <c r="B10" t="s">
        <v>241</v>
      </c>
      <c r="C10" s="37" t="s">
        <v>575</v>
      </c>
      <c r="G10" t="s">
        <v>328</v>
      </c>
    </row>
    <row r="11" spans="1:7" x14ac:dyDescent="0.3">
      <c r="A11" t="s">
        <v>250</v>
      </c>
      <c r="B11" t="s">
        <v>242</v>
      </c>
      <c r="C11" s="37" t="s">
        <v>576</v>
      </c>
      <c r="G11" t="s">
        <v>329</v>
      </c>
    </row>
    <row r="12" spans="1:7" x14ac:dyDescent="0.3">
      <c r="A12" t="s">
        <v>250</v>
      </c>
      <c r="B12" t="s">
        <v>240</v>
      </c>
      <c r="C12" s="37" t="s">
        <v>577</v>
      </c>
      <c r="G12" t="s">
        <v>330</v>
      </c>
    </row>
    <row r="13" spans="1:7" x14ac:dyDescent="0.3">
      <c r="A13" t="s">
        <v>259</v>
      </c>
      <c r="B13" t="s">
        <v>241</v>
      </c>
      <c r="C13" s="37" t="s">
        <v>578</v>
      </c>
      <c r="G13" t="s">
        <v>331</v>
      </c>
    </row>
    <row r="14" spans="1:7" x14ac:dyDescent="0.3">
      <c r="A14" t="s">
        <v>259</v>
      </c>
      <c r="B14" t="s">
        <v>242</v>
      </c>
      <c r="C14" s="37" t="s">
        <v>579</v>
      </c>
      <c r="G14" t="s">
        <v>332</v>
      </c>
    </row>
    <row r="15" spans="1:7" x14ac:dyDescent="0.3">
      <c r="A15" t="s">
        <v>259</v>
      </c>
      <c r="B15" t="s">
        <v>248</v>
      </c>
      <c r="C15" s="37" t="s">
        <v>580</v>
      </c>
      <c r="G15" t="s">
        <v>333</v>
      </c>
    </row>
    <row r="16" spans="1:7" x14ac:dyDescent="0.3">
      <c r="A16" t="s">
        <v>260</v>
      </c>
      <c r="B16" t="s">
        <v>240</v>
      </c>
      <c r="C16" s="37" t="s">
        <v>581</v>
      </c>
      <c r="G16" t="s">
        <v>334</v>
      </c>
    </row>
    <row r="17" spans="1:7" x14ac:dyDescent="0.3">
      <c r="A17" t="s">
        <v>260</v>
      </c>
      <c r="B17" t="s">
        <v>242</v>
      </c>
      <c r="C17" s="37" t="s">
        <v>582</v>
      </c>
      <c r="G17" t="s">
        <v>335</v>
      </c>
    </row>
    <row r="18" spans="1:7" x14ac:dyDescent="0.3">
      <c r="A18" t="s">
        <v>260</v>
      </c>
      <c r="B18" t="s">
        <v>241</v>
      </c>
      <c r="C18" s="37" t="s">
        <v>583</v>
      </c>
      <c r="G18" t="s">
        <v>336</v>
      </c>
    </row>
    <row r="19" spans="1:7" x14ac:dyDescent="0.3">
      <c r="A19" t="s">
        <v>261</v>
      </c>
      <c r="B19" t="s">
        <v>240</v>
      </c>
      <c r="C19" s="37" t="s">
        <v>584</v>
      </c>
      <c r="G19" t="s">
        <v>337</v>
      </c>
    </row>
    <row r="20" spans="1:7" x14ac:dyDescent="0.3">
      <c r="A20" t="s">
        <v>261</v>
      </c>
      <c r="B20" t="s">
        <v>242</v>
      </c>
      <c r="C20" s="37" t="s">
        <v>585</v>
      </c>
      <c r="G20" t="s">
        <v>338</v>
      </c>
    </row>
    <row r="21" spans="1:7" ht="28.8" x14ac:dyDescent="0.3">
      <c r="A21" t="s">
        <v>261</v>
      </c>
      <c r="B21" t="s">
        <v>241</v>
      </c>
      <c r="C21" s="37" t="s">
        <v>586</v>
      </c>
      <c r="G21" t="s">
        <v>339</v>
      </c>
    </row>
    <row r="22" spans="1:7" x14ac:dyDescent="0.3">
      <c r="A22" t="s">
        <v>245</v>
      </c>
      <c r="B22" t="s">
        <v>241</v>
      </c>
      <c r="C22" s="37" t="s">
        <v>587</v>
      </c>
      <c r="G22" t="s">
        <v>340</v>
      </c>
    </row>
    <row r="23" spans="1:7" x14ac:dyDescent="0.3">
      <c r="A23" t="s">
        <v>245</v>
      </c>
      <c r="B23" t="s">
        <v>242</v>
      </c>
      <c r="C23" s="37" t="s">
        <v>588</v>
      </c>
      <c r="G23" t="s">
        <v>341</v>
      </c>
    </row>
    <row r="24" spans="1:7" x14ac:dyDescent="0.3">
      <c r="A24" t="s">
        <v>245</v>
      </c>
      <c r="B24" t="s">
        <v>240</v>
      </c>
      <c r="C24" s="37" t="s">
        <v>589</v>
      </c>
      <c r="G24" t="s">
        <v>342</v>
      </c>
    </row>
    <row r="25" spans="1:7" ht="28.8" x14ac:dyDescent="0.3">
      <c r="A25" t="s">
        <v>262</v>
      </c>
      <c r="B25" t="s">
        <v>241</v>
      </c>
      <c r="C25" s="37" t="s">
        <v>590</v>
      </c>
      <c r="G25" t="s">
        <v>343</v>
      </c>
    </row>
    <row r="26" spans="1:7" x14ac:dyDescent="0.3">
      <c r="A26" t="s">
        <v>262</v>
      </c>
      <c r="B26" t="s">
        <v>242</v>
      </c>
      <c r="C26" s="37" t="s">
        <v>591</v>
      </c>
      <c r="G26" t="s">
        <v>344</v>
      </c>
    </row>
    <row r="27" spans="1:7" x14ac:dyDescent="0.3">
      <c r="A27" t="s">
        <v>262</v>
      </c>
      <c r="B27" t="s">
        <v>240</v>
      </c>
      <c r="C27" s="37" t="s">
        <v>592</v>
      </c>
      <c r="G27" t="s">
        <v>345</v>
      </c>
    </row>
    <row r="28" spans="1:7" x14ac:dyDescent="0.3">
      <c r="A28" t="s">
        <v>263</v>
      </c>
      <c r="B28" t="s">
        <v>241</v>
      </c>
      <c r="C28" s="37" t="s">
        <v>593</v>
      </c>
      <c r="G28" t="s">
        <v>346</v>
      </c>
    </row>
    <row r="29" spans="1:7" x14ac:dyDescent="0.3">
      <c r="A29" t="s">
        <v>263</v>
      </c>
      <c r="B29" t="s">
        <v>242</v>
      </c>
      <c r="C29" s="37" t="s">
        <v>594</v>
      </c>
      <c r="G29" t="s">
        <v>347</v>
      </c>
    </row>
    <row r="30" spans="1:7" x14ac:dyDescent="0.3">
      <c r="A30" t="s">
        <v>263</v>
      </c>
      <c r="B30" t="s">
        <v>240</v>
      </c>
      <c r="C30" s="37" t="s">
        <v>595</v>
      </c>
      <c r="G30" t="s">
        <v>348</v>
      </c>
    </row>
    <row r="31" spans="1:7" x14ac:dyDescent="0.3">
      <c r="A31" t="s">
        <v>246</v>
      </c>
      <c r="B31" t="s">
        <v>240</v>
      </c>
      <c r="C31" s="37" t="s">
        <v>596</v>
      </c>
      <c r="G31" t="s">
        <v>349</v>
      </c>
    </row>
    <row r="32" spans="1:7" ht="28.8" x14ac:dyDescent="0.3">
      <c r="A32" t="s">
        <v>246</v>
      </c>
      <c r="B32" t="s">
        <v>242</v>
      </c>
      <c r="C32" s="37" t="s">
        <v>597</v>
      </c>
      <c r="G32" t="s">
        <v>350</v>
      </c>
    </row>
    <row r="33" spans="1:7" x14ac:dyDescent="0.3">
      <c r="A33" t="s">
        <v>246</v>
      </c>
      <c r="B33" t="s">
        <v>241</v>
      </c>
      <c r="C33" s="37" t="s">
        <v>598</v>
      </c>
      <c r="G33" t="s">
        <v>351</v>
      </c>
    </row>
    <row r="34" spans="1:7" x14ac:dyDescent="0.3">
      <c r="A34" t="s">
        <v>244</v>
      </c>
      <c r="B34" t="s">
        <v>240</v>
      </c>
      <c r="C34" s="37" t="s">
        <v>589</v>
      </c>
      <c r="G34" t="s">
        <v>342</v>
      </c>
    </row>
    <row r="35" spans="1:7" ht="28.8" x14ac:dyDescent="0.3">
      <c r="A35" t="s">
        <v>244</v>
      </c>
      <c r="B35" t="s">
        <v>242</v>
      </c>
      <c r="C35" s="37" t="s">
        <v>599</v>
      </c>
      <c r="G35" t="s">
        <v>352</v>
      </c>
    </row>
    <row r="36" spans="1:7" x14ac:dyDescent="0.3">
      <c r="A36" t="s">
        <v>244</v>
      </c>
      <c r="B36" t="s">
        <v>241</v>
      </c>
      <c r="C36" s="37" t="s">
        <v>600</v>
      </c>
      <c r="G36" t="s">
        <v>353</v>
      </c>
    </row>
    <row r="37" spans="1:7" x14ac:dyDescent="0.3">
      <c r="A37" t="s">
        <v>264</v>
      </c>
      <c r="B37" t="s">
        <v>241</v>
      </c>
      <c r="C37" s="37" t="s">
        <v>601</v>
      </c>
      <c r="G37" t="s">
        <v>354</v>
      </c>
    </row>
    <row r="38" spans="1:7" x14ac:dyDescent="0.3">
      <c r="A38" t="s">
        <v>264</v>
      </c>
      <c r="B38" t="s">
        <v>242</v>
      </c>
      <c r="C38" s="37" t="s">
        <v>602</v>
      </c>
      <c r="G38" t="s">
        <v>355</v>
      </c>
    </row>
    <row r="39" spans="1:7" x14ac:dyDescent="0.3">
      <c r="A39" t="s">
        <v>264</v>
      </c>
      <c r="B39" t="s">
        <v>240</v>
      </c>
      <c r="C39" s="37" t="s">
        <v>603</v>
      </c>
      <c r="G39" t="s">
        <v>356</v>
      </c>
    </row>
    <row r="40" spans="1:7" x14ac:dyDescent="0.3">
      <c r="A40" t="s">
        <v>265</v>
      </c>
      <c r="B40" t="s">
        <v>240</v>
      </c>
      <c r="C40" s="37" t="s">
        <v>604</v>
      </c>
      <c r="G40" t="s">
        <v>357</v>
      </c>
    </row>
    <row r="41" spans="1:7" x14ac:dyDescent="0.3">
      <c r="A41" t="s">
        <v>265</v>
      </c>
      <c r="B41" t="s">
        <v>242</v>
      </c>
      <c r="C41" s="37" t="s">
        <v>605</v>
      </c>
      <c r="G41" t="s">
        <v>358</v>
      </c>
    </row>
    <row r="42" spans="1:7" x14ac:dyDescent="0.3">
      <c r="A42" t="s">
        <v>265</v>
      </c>
      <c r="B42" t="s">
        <v>241</v>
      </c>
      <c r="C42" s="37" t="s">
        <v>606</v>
      </c>
      <c r="G42" t="s">
        <v>359</v>
      </c>
    </row>
    <row r="43" spans="1:7" x14ac:dyDescent="0.3">
      <c r="A43" t="s">
        <v>266</v>
      </c>
      <c r="B43" t="s">
        <v>240</v>
      </c>
      <c r="C43" s="37" t="s">
        <v>607</v>
      </c>
      <c r="G43" t="s">
        <v>360</v>
      </c>
    </row>
    <row r="44" spans="1:7" x14ac:dyDescent="0.3">
      <c r="A44" t="s">
        <v>266</v>
      </c>
      <c r="B44" t="s">
        <v>242</v>
      </c>
      <c r="C44" s="37" t="s">
        <v>608</v>
      </c>
      <c r="G44" t="s">
        <v>361</v>
      </c>
    </row>
    <row r="45" spans="1:7" x14ac:dyDescent="0.3">
      <c r="A45" t="s">
        <v>266</v>
      </c>
      <c r="B45" t="s">
        <v>241</v>
      </c>
      <c r="C45" s="37" t="s">
        <v>609</v>
      </c>
      <c r="G45" t="s">
        <v>362</v>
      </c>
    </row>
    <row r="46" spans="1:7" x14ac:dyDescent="0.3">
      <c r="A46" t="s">
        <v>267</v>
      </c>
      <c r="B46" t="s">
        <v>241</v>
      </c>
      <c r="C46" s="37" t="s">
        <v>610</v>
      </c>
      <c r="G46" t="s">
        <v>363</v>
      </c>
    </row>
    <row r="47" spans="1:7" x14ac:dyDescent="0.3">
      <c r="A47" t="s">
        <v>267</v>
      </c>
      <c r="B47" t="s">
        <v>242</v>
      </c>
      <c r="C47" s="37" t="s">
        <v>611</v>
      </c>
      <c r="G47" t="s">
        <v>364</v>
      </c>
    </row>
    <row r="48" spans="1:7" x14ac:dyDescent="0.3">
      <c r="A48" t="s">
        <v>267</v>
      </c>
      <c r="B48" t="s">
        <v>240</v>
      </c>
      <c r="C48" s="37" t="s">
        <v>612</v>
      </c>
      <c r="G48" t="s">
        <v>365</v>
      </c>
    </row>
    <row r="49" spans="1:7" x14ac:dyDescent="0.3">
      <c r="A49" t="s">
        <v>268</v>
      </c>
      <c r="B49" t="s">
        <v>241</v>
      </c>
      <c r="C49" s="37" t="s">
        <v>613</v>
      </c>
      <c r="G49" t="s">
        <v>366</v>
      </c>
    </row>
    <row r="50" spans="1:7" x14ac:dyDescent="0.3">
      <c r="A50" t="s">
        <v>268</v>
      </c>
      <c r="B50" t="s">
        <v>242</v>
      </c>
      <c r="C50" s="37" t="s">
        <v>614</v>
      </c>
      <c r="G50" t="s">
        <v>367</v>
      </c>
    </row>
    <row r="51" spans="1:7" x14ac:dyDescent="0.3">
      <c r="A51" t="s">
        <v>268</v>
      </c>
      <c r="B51" t="s">
        <v>249</v>
      </c>
      <c r="C51" s="37" t="s">
        <v>615</v>
      </c>
      <c r="G51" t="s">
        <v>368</v>
      </c>
    </row>
    <row r="52" spans="1:7" x14ac:dyDescent="0.3">
      <c r="A52" t="s">
        <v>269</v>
      </c>
      <c r="B52" t="s">
        <v>240</v>
      </c>
      <c r="C52" s="37" t="s">
        <v>616</v>
      </c>
      <c r="G52" t="s">
        <v>369</v>
      </c>
    </row>
    <row r="53" spans="1:7" x14ac:dyDescent="0.3">
      <c r="A53" t="s">
        <v>269</v>
      </c>
      <c r="B53" t="s">
        <v>242</v>
      </c>
      <c r="C53" s="37" t="s">
        <v>614</v>
      </c>
      <c r="G53" t="s">
        <v>367</v>
      </c>
    </row>
    <row r="54" spans="1:7" ht="28.8" x14ac:dyDescent="0.3">
      <c r="A54" t="s">
        <v>269</v>
      </c>
      <c r="B54" t="s">
        <v>249</v>
      </c>
      <c r="C54" s="37" t="s">
        <v>617</v>
      </c>
      <c r="G54" t="s">
        <v>370</v>
      </c>
    </row>
    <row r="55" spans="1:7" x14ac:dyDescent="0.3">
      <c r="A55" t="s">
        <v>270</v>
      </c>
      <c r="B55" t="s">
        <v>241</v>
      </c>
      <c r="C55" s="37" t="s">
        <v>618</v>
      </c>
      <c r="G55" t="s">
        <v>371</v>
      </c>
    </row>
    <row r="56" spans="1:7" x14ac:dyDescent="0.3">
      <c r="A56" t="s">
        <v>270</v>
      </c>
      <c r="B56" t="s">
        <v>242</v>
      </c>
      <c r="C56" s="37" t="s">
        <v>619</v>
      </c>
      <c r="G56" t="s">
        <v>372</v>
      </c>
    </row>
    <row r="57" spans="1:7" x14ac:dyDescent="0.3">
      <c r="A57" t="s">
        <v>270</v>
      </c>
      <c r="B57" t="s">
        <v>248</v>
      </c>
      <c r="C57" s="37" t="s">
        <v>620</v>
      </c>
      <c r="G57" t="s">
        <v>373</v>
      </c>
    </row>
    <row r="58" spans="1:7" x14ac:dyDescent="0.3">
      <c r="A58" t="s">
        <v>271</v>
      </c>
      <c r="B58" t="s">
        <v>240</v>
      </c>
      <c r="C58" s="37" t="s">
        <v>621</v>
      </c>
      <c r="G58" t="s">
        <v>374</v>
      </c>
    </row>
    <row r="59" spans="1:7" x14ac:dyDescent="0.3">
      <c r="A59" t="s">
        <v>271</v>
      </c>
      <c r="B59" t="s">
        <v>242</v>
      </c>
      <c r="C59" s="37" t="s">
        <v>619</v>
      </c>
      <c r="G59" t="s">
        <v>372</v>
      </c>
    </row>
    <row r="60" spans="1:7" x14ac:dyDescent="0.3">
      <c r="A60" t="s">
        <v>271</v>
      </c>
      <c r="B60" t="s">
        <v>248</v>
      </c>
      <c r="C60" s="37" t="s">
        <v>622</v>
      </c>
      <c r="G60" t="s">
        <v>375</v>
      </c>
    </row>
    <row r="61" spans="1:7" x14ac:dyDescent="0.3">
      <c r="A61" t="s">
        <v>272</v>
      </c>
      <c r="B61" t="s">
        <v>241</v>
      </c>
      <c r="C61" s="37" t="s">
        <v>623</v>
      </c>
      <c r="G61" t="s">
        <v>376</v>
      </c>
    </row>
    <row r="62" spans="1:7" x14ac:dyDescent="0.3">
      <c r="A62" t="s">
        <v>272</v>
      </c>
      <c r="B62" t="s">
        <v>242</v>
      </c>
      <c r="C62" s="37" t="s">
        <v>624</v>
      </c>
      <c r="G62" t="s">
        <v>377</v>
      </c>
    </row>
    <row r="63" spans="1:7" x14ac:dyDescent="0.3">
      <c r="A63" t="s">
        <v>272</v>
      </c>
      <c r="B63" t="s">
        <v>248</v>
      </c>
      <c r="C63" s="37" t="s">
        <v>625</v>
      </c>
      <c r="G63" t="s">
        <v>378</v>
      </c>
    </row>
    <row r="64" spans="1:7" x14ac:dyDescent="0.3">
      <c r="A64" t="s">
        <v>273</v>
      </c>
      <c r="B64" t="s">
        <v>240</v>
      </c>
      <c r="C64" s="37" t="s">
        <v>626</v>
      </c>
      <c r="G64" t="s">
        <v>379</v>
      </c>
    </row>
    <row r="65" spans="1:7" x14ac:dyDescent="0.3">
      <c r="A65" t="s">
        <v>273</v>
      </c>
      <c r="B65" t="s">
        <v>242</v>
      </c>
      <c r="C65" s="37" t="s">
        <v>627</v>
      </c>
      <c r="G65" t="s">
        <v>380</v>
      </c>
    </row>
    <row r="66" spans="1:7" x14ac:dyDescent="0.3">
      <c r="A66" t="s">
        <v>273</v>
      </c>
      <c r="B66" t="s">
        <v>248</v>
      </c>
      <c r="C66" s="37" t="s">
        <v>628</v>
      </c>
      <c r="G66" t="s">
        <v>381</v>
      </c>
    </row>
    <row r="67" spans="1:7" x14ac:dyDescent="0.3">
      <c r="A67" t="s">
        <v>274</v>
      </c>
      <c r="B67" t="s">
        <v>241</v>
      </c>
      <c r="C67" s="37" t="s">
        <v>629</v>
      </c>
      <c r="G67" t="s">
        <v>382</v>
      </c>
    </row>
    <row r="68" spans="1:7" x14ac:dyDescent="0.3">
      <c r="A68" t="s">
        <v>274</v>
      </c>
      <c r="B68" t="s">
        <v>242</v>
      </c>
      <c r="C68" s="37" t="s">
        <v>630</v>
      </c>
      <c r="G68" t="s">
        <v>383</v>
      </c>
    </row>
    <row r="69" spans="1:7" x14ac:dyDescent="0.3">
      <c r="A69" t="s">
        <v>274</v>
      </c>
      <c r="B69" t="s">
        <v>240</v>
      </c>
      <c r="C69" s="37" t="s">
        <v>631</v>
      </c>
      <c r="G69" t="s">
        <v>384</v>
      </c>
    </row>
    <row r="70" spans="1:7" x14ac:dyDescent="0.3">
      <c r="A70" t="s">
        <v>275</v>
      </c>
      <c r="B70" t="s">
        <v>240</v>
      </c>
      <c r="C70" s="37" t="s">
        <v>632</v>
      </c>
      <c r="G70" t="s">
        <v>385</v>
      </c>
    </row>
    <row r="71" spans="1:7" x14ac:dyDescent="0.3">
      <c r="A71" t="s">
        <v>275</v>
      </c>
      <c r="B71" t="s">
        <v>242</v>
      </c>
      <c r="C71" s="37" t="s">
        <v>630</v>
      </c>
      <c r="G71" t="s">
        <v>383</v>
      </c>
    </row>
    <row r="72" spans="1:7" x14ac:dyDescent="0.3">
      <c r="A72" t="s">
        <v>275</v>
      </c>
      <c r="B72" t="s">
        <v>241</v>
      </c>
      <c r="C72" s="37" t="s">
        <v>633</v>
      </c>
      <c r="G72" t="s">
        <v>386</v>
      </c>
    </row>
    <row r="73" spans="1:7" x14ac:dyDescent="0.3">
      <c r="A73" t="s">
        <v>276</v>
      </c>
      <c r="B73" t="s">
        <v>243</v>
      </c>
      <c r="C73" s="37" t="s">
        <v>634</v>
      </c>
      <c r="G73" t="s">
        <v>387</v>
      </c>
    </row>
    <row r="74" spans="1:7" x14ac:dyDescent="0.3">
      <c r="A74" t="s">
        <v>276</v>
      </c>
      <c r="B74" t="s">
        <v>242</v>
      </c>
      <c r="C74" s="37" t="s">
        <v>635</v>
      </c>
      <c r="G74" t="s">
        <v>388</v>
      </c>
    </row>
    <row r="75" spans="1:7" x14ac:dyDescent="0.3">
      <c r="A75" t="s">
        <v>276</v>
      </c>
      <c r="B75" t="s">
        <v>247</v>
      </c>
      <c r="C75" s="37" t="s">
        <v>636</v>
      </c>
      <c r="G75" t="s">
        <v>389</v>
      </c>
    </row>
    <row r="76" spans="1:7" x14ac:dyDescent="0.3">
      <c r="A76" t="s">
        <v>277</v>
      </c>
      <c r="B76" t="s">
        <v>243</v>
      </c>
      <c r="C76" s="37" t="s">
        <v>634</v>
      </c>
      <c r="G76" t="s">
        <v>387</v>
      </c>
    </row>
    <row r="77" spans="1:7" x14ac:dyDescent="0.3">
      <c r="A77" t="s">
        <v>277</v>
      </c>
      <c r="B77" t="s">
        <v>242</v>
      </c>
      <c r="C77" s="37" t="s">
        <v>635</v>
      </c>
      <c r="G77" t="s">
        <v>388</v>
      </c>
    </row>
    <row r="78" spans="1:7" x14ac:dyDescent="0.3">
      <c r="A78" t="s">
        <v>277</v>
      </c>
      <c r="B78" t="s">
        <v>247</v>
      </c>
      <c r="C78" s="37" t="s">
        <v>636</v>
      </c>
      <c r="G78" t="s">
        <v>389</v>
      </c>
    </row>
    <row r="79" spans="1:7" x14ac:dyDescent="0.3">
      <c r="A79" t="s">
        <v>278</v>
      </c>
      <c r="B79" t="s">
        <v>243</v>
      </c>
      <c r="C79" s="37" t="s">
        <v>637</v>
      </c>
      <c r="G79" t="s">
        <v>390</v>
      </c>
    </row>
    <row r="80" spans="1:7" x14ac:dyDescent="0.3">
      <c r="A80" t="s">
        <v>278</v>
      </c>
      <c r="B80" t="s">
        <v>242</v>
      </c>
      <c r="C80" s="37" t="s">
        <v>638</v>
      </c>
      <c r="G80" t="s">
        <v>391</v>
      </c>
    </row>
    <row r="81" spans="1:7" ht="28.8" x14ac:dyDescent="0.3">
      <c r="A81" t="s">
        <v>278</v>
      </c>
      <c r="B81" t="s">
        <v>247</v>
      </c>
      <c r="C81" s="37" t="s">
        <v>639</v>
      </c>
      <c r="G81" t="s">
        <v>392</v>
      </c>
    </row>
    <row r="82" spans="1:7" x14ac:dyDescent="0.3">
      <c r="A82" t="s">
        <v>279</v>
      </c>
      <c r="B82" t="s">
        <v>243</v>
      </c>
      <c r="C82" s="37" t="s">
        <v>640</v>
      </c>
      <c r="G82" t="s">
        <v>393</v>
      </c>
    </row>
    <row r="83" spans="1:7" x14ac:dyDescent="0.3">
      <c r="A83" t="s">
        <v>279</v>
      </c>
      <c r="B83" t="s">
        <v>242</v>
      </c>
      <c r="C83" s="37" t="s">
        <v>641</v>
      </c>
      <c r="G83" t="s">
        <v>394</v>
      </c>
    </row>
    <row r="84" spans="1:7" x14ac:dyDescent="0.3">
      <c r="A84" t="s">
        <v>279</v>
      </c>
      <c r="B84" t="s">
        <v>247</v>
      </c>
      <c r="C84" s="37" t="s">
        <v>642</v>
      </c>
      <c r="G84" t="s">
        <v>395</v>
      </c>
    </row>
    <row r="85" spans="1:7" x14ac:dyDescent="0.3">
      <c r="A85" t="s">
        <v>280</v>
      </c>
      <c r="B85" t="s">
        <v>243</v>
      </c>
      <c r="C85" s="37" t="s">
        <v>640</v>
      </c>
      <c r="G85" t="s">
        <v>393</v>
      </c>
    </row>
    <row r="86" spans="1:7" x14ac:dyDescent="0.3">
      <c r="A86" t="s">
        <v>280</v>
      </c>
      <c r="B86" t="s">
        <v>242</v>
      </c>
      <c r="C86" s="37" t="s">
        <v>641</v>
      </c>
      <c r="G86" t="s">
        <v>394</v>
      </c>
    </row>
    <row r="87" spans="1:7" x14ac:dyDescent="0.3">
      <c r="A87" t="s">
        <v>280</v>
      </c>
      <c r="B87" t="s">
        <v>247</v>
      </c>
      <c r="C87" s="37" t="s">
        <v>642</v>
      </c>
      <c r="G87" t="s">
        <v>395</v>
      </c>
    </row>
    <row r="88" spans="1:7" ht="28.8" x14ac:dyDescent="0.3">
      <c r="A88" t="s">
        <v>281</v>
      </c>
      <c r="B88" t="s">
        <v>241</v>
      </c>
      <c r="C88" s="37" t="s">
        <v>643</v>
      </c>
      <c r="G88" t="s">
        <v>396</v>
      </c>
    </row>
    <row r="89" spans="1:7" x14ac:dyDescent="0.3">
      <c r="A89" t="s">
        <v>281</v>
      </c>
      <c r="B89" t="s">
        <v>242</v>
      </c>
      <c r="C89" s="37" t="s">
        <v>644</v>
      </c>
      <c r="G89" t="s">
        <v>397</v>
      </c>
    </row>
    <row r="90" spans="1:7" ht="28.8" x14ac:dyDescent="0.3">
      <c r="A90" t="s">
        <v>281</v>
      </c>
      <c r="B90" t="s">
        <v>240</v>
      </c>
      <c r="C90" s="37" t="s">
        <v>645</v>
      </c>
      <c r="G90" t="s">
        <v>398</v>
      </c>
    </row>
    <row r="91" spans="1:7" x14ac:dyDescent="0.3">
      <c r="A91" t="s">
        <v>282</v>
      </c>
      <c r="B91" t="s">
        <v>243</v>
      </c>
      <c r="C91" s="37" t="s">
        <v>646</v>
      </c>
      <c r="G91" t="s">
        <v>399</v>
      </c>
    </row>
    <row r="92" spans="1:7" x14ac:dyDescent="0.3">
      <c r="A92" t="s">
        <v>282</v>
      </c>
      <c r="B92" t="s">
        <v>242</v>
      </c>
      <c r="C92" s="37" t="s">
        <v>647</v>
      </c>
      <c r="G92" t="s">
        <v>400</v>
      </c>
    </row>
    <row r="93" spans="1:7" ht="28.8" x14ac:dyDescent="0.3">
      <c r="A93" t="s">
        <v>282</v>
      </c>
      <c r="B93" t="s">
        <v>247</v>
      </c>
      <c r="C93" s="37" t="s">
        <v>648</v>
      </c>
      <c r="G93" t="s">
        <v>401</v>
      </c>
    </row>
    <row r="94" spans="1:7" x14ac:dyDescent="0.3">
      <c r="A94" t="s">
        <v>283</v>
      </c>
      <c r="B94" t="s">
        <v>243</v>
      </c>
      <c r="C94" s="37" t="s">
        <v>646</v>
      </c>
      <c r="G94" t="s">
        <v>399</v>
      </c>
    </row>
    <row r="95" spans="1:7" x14ac:dyDescent="0.3">
      <c r="A95" t="s">
        <v>283</v>
      </c>
      <c r="B95" t="s">
        <v>242</v>
      </c>
      <c r="C95" s="37" t="s">
        <v>647</v>
      </c>
      <c r="G95" t="s">
        <v>400</v>
      </c>
    </row>
    <row r="96" spans="1:7" ht="28.8" x14ac:dyDescent="0.3">
      <c r="A96" t="s">
        <v>283</v>
      </c>
      <c r="B96" t="s">
        <v>247</v>
      </c>
      <c r="C96" s="37" t="s">
        <v>648</v>
      </c>
      <c r="G96" t="s">
        <v>401</v>
      </c>
    </row>
    <row r="97" spans="1:7" x14ac:dyDescent="0.3">
      <c r="A97" t="s">
        <v>284</v>
      </c>
      <c r="B97" t="s">
        <v>243</v>
      </c>
      <c r="C97" s="37" t="s">
        <v>649</v>
      </c>
      <c r="G97" t="s">
        <v>402</v>
      </c>
    </row>
    <row r="98" spans="1:7" x14ac:dyDescent="0.3">
      <c r="A98" t="s">
        <v>284</v>
      </c>
      <c r="B98" t="s">
        <v>242</v>
      </c>
      <c r="C98" s="37" t="s">
        <v>650</v>
      </c>
      <c r="G98" t="s">
        <v>403</v>
      </c>
    </row>
    <row r="99" spans="1:7" x14ac:dyDescent="0.3">
      <c r="A99" t="s">
        <v>284</v>
      </c>
      <c r="B99" t="s">
        <v>247</v>
      </c>
      <c r="C99" s="37" t="s">
        <v>651</v>
      </c>
      <c r="G99" t="s">
        <v>404</v>
      </c>
    </row>
    <row r="100" spans="1:7" x14ac:dyDescent="0.3">
      <c r="A100" t="s">
        <v>285</v>
      </c>
      <c r="B100" t="s">
        <v>243</v>
      </c>
      <c r="C100" s="37" t="s">
        <v>652</v>
      </c>
      <c r="G100" t="s">
        <v>405</v>
      </c>
    </row>
    <row r="101" spans="1:7" x14ac:dyDescent="0.3">
      <c r="A101" t="s">
        <v>285</v>
      </c>
      <c r="B101" t="s">
        <v>242</v>
      </c>
      <c r="C101" s="37" t="s">
        <v>653</v>
      </c>
      <c r="G101" t="s">
        <v>406</v>
      </c>
    </row>
    <row r="102" spans="1:7" x14ac:dyDescent="0.3">
      <c r="A102" t="s">
        <v>285</v>
      </c>
      <c r="B102" t="s">
        <v>247</v>
      </c>
      <c r="C102" s="37" t="s">
        <v>654</v>
      </c>
      <c r="G102" t="s">
        <v>407</v>
      </c>
    </row>
    <row r="103" spans="1:7" x14ac:dyDescent="0.3">
      <c r="A103" t="s">
        <v>286</v>
      </c>
      <c r="B103" t="s">
        <v>243</v>
      </c>
      <c r="C103" s="37" t="s">
        <v>652</v>
      </c>
      <c r="G103" t="s">
        <v>405</v>
      </c>
    </row>
    <row r="104" spans="1:7" x14ac:dyDescent="0.3">
      <c r="A104" t="s">
        <v>286</v>
      </c>
      <c r="B104" t="s">
        <v>242</v>
      </c>
      <c r="C104" s="37" t="s">
        <v>653</v>
      </c>
      <c r="G104" t="s">
        <v>406</v>
      </c>
    </row>
    <row r="105" spans="1:7" x14ac:dyDescent="0.3">
      <c r="A105" t="s">
        <v>286</v>
      </c>
      <c r="B105" t="s">
        <v>247</v>
      </c>
      <c r="C105" s="37" t="s">
        <v>654</v>
      </c>
      <c r="G105" t="s">
        <v>407</v>
      </c>
    </row>
    <row r="106" spans="1:7" ht="28.8" x14ac:dyDescent="0.3">
      <c r="A106" t="s">
        <v>287</v>
      </c>
      <c r="B106" t="s">
        <v>243</v>
      </c>
      <c r="C106" s="37" t="s">
        <v>655</v>
      </c>
      <c r="G106" t="s">
        <v>408</v>
      </c>
    </row>
    <row r="107" spans="1:7" x14ac:dyDescent="0.3">
      <c r="A107" t="s">
        <v>287</v>
      </c>
      <c r="B107" t="s">
        <v>242</v>
      </c>
      <c r="C107" s="37" t="s">
        <v>656</v>
      </c>
      <c r="G107" t="s">
        <v>409</v>
      </c>
    </row>
    <row r="108" spans="1:7" x14ac:dyDescent="0.3">
      <c r="A108" t="s">
        <v>287</v>
      </c>
      <c r="B108" t="s">
        <v>247</v>
      </c>
      <c r="C108" s="37" t="s">
        <v>651</v>
      </c>
      <c r="G108" t="s">
        <v>404</v>
      </c>
    </row>
    <row r="109" spans="1:7" x14ac:dyDescent="0.3">
      <c r="A109" t="s">
        <v>288</v>
      </c>
      <c r="B109" t="s">
        <v>242</v>
      </c>
      <c r="C109" s="37" t="s">
        <v>657</v>
      </c>
      <c r="G109" t="s">
        <v>410</v>
      </c>
    </row>
    <row r="110" spans="1:7" x14ac:dyDescent="0.3">
      <c r="A110" t="s">
        <v>288</v>
      </c>
      <c r="B110" t="s">
        <v>247</v>
      </c>
      <c r="C110" s="37" t="s">
        <v>658</v>
      </c>
      <c r="G110" t="s">
        <v>411</v>
      </c>
    </row>
    <row r="111" spans="1:7" x14ac:dyDescent="0.3">
      <c r="A111" t="s">
        <v>289</v>
      </c>
      <c r="B111" t="s">
        <v>242</v>
      </c>
      <c r="C111" s="37" t="s">
        <v>659</v>
      </c>
      <c r="G111" t="s">
        <v>412</v>
      </c>
    </row>
    <row r="112" spans="1:7" x14ac:dyDescent="0.3">
      <c r="A112" t="s">
        <v>289</v>
      </c>
      <c r="B112" t="s">
        <v>247</v>
      </c>
      <c r="C112" s="37" t="s">
        <v>660</v>
      </c>
      <c r="G112" t="s">
        <v>413</v>
      </c>
    </row>
    <row r="113" spans="1:7" x14ac:dyDescent="0.3">
      <c r="A113" t="s">
        <v>289</v>
      </c>
      <c r="B113" t="s">
        <v>248</v>
      </c>
      <c r="C113" s="37" t="s">
        <v>661</v>
      </c>
      <c r="G113" t="s">
        <v>414</v>
      </c>
    </row>
    <row r="114" spans="1:7" x14ac:dyDescent="0.3">
      <c r="A114" t="s">
        <v>290</v>
      </c>
      <c r="B114" t="s">
        <v>242</v>
      </c>
      <c r="C114" s="37" t="s">
        <v>662</v>
      </c>
      <c r="G114" t="s">
        <v>415</v>
      </c>
    </row>
    <row r="115" spans="1:7" x14ac:dyDescent="0.3">
      <c r="A115" t="s">
        <v>290</v>
      </c>
      <c r="B115" t="s">
        <v>247</v>
      </c>
      <c r="C115" s="37" t="s">
        <v>663</v>
      </c>
      <c r="G115" t="s">
        <v>416</v>
      </c>
    </row>
    <row r="116" spans="1:7" x14ac:dyDescent="0.3">
      <c r="A116" t="s">
        <v>291</v>
      </c>
      <c r="B116" t="s">
        <v>242</v>
      </c>
      <c r="C116" s="37" t="s">
        <v>664</v>
      </c>
      <c r="G116" t="s">
        <v>417</v>
      </c>
    </row>
    <row r="117" spans="1:7" x14ac:dyDescent="0.3">
      <c r="A117" t="s">
        <v>291</v>
      </c>
      <c r="B117" t="s">
        <v>247</v>
      </c>
      <c r="C117" s="37" t="s">
        <v>665</v>
      </c>
      <c r="G117" t="s">
        <v>418</v>
      </c>
    </row>
    <row r="118" spans="1:7" x14ac:dyDescent="0.3">
      <c r="A118" t="s">
        <v>291</v>
      </c>
      <c r="B118" t="s">
        <v>248</v>
      </c>
      <c r="C118" s="37" t="s">
        <v>661</v>
      </c>
      <c r="G118" t="s">
        <v>414</v>
      </c>
    </row>
    <row r="119" spans="1:7" x14ac:dyDescent="0.3">
      <c r="A119" t="s">
        <v>292</v>
      </c>
      <c r="B119" t="s">
        <v>242</v>
      </c>
      <c r="C119" s="37" t="s">
        <v>666</v>
      </c>
      <c r="G119" t="s">
        <v>419</v>
      </c>
    </row>
    <row r="120" spans="1:7" x14ac:dyDescent="0.3">
      <c r="A120" t="s">
        <v>292</v>
      </c>
      <c r="B120" t="s">
        <v>247</v>
      </c>
      <c r="C120" s="37" t="s">
        <v>667</v>
      </c>
      <c r="G120" t="s">
        <v>420</v>
      </c>
    </row>
    <row r="121" spans="1:7" x14ac:dyDescent="0.3">
      <c r="A121" t="s">
        <v>293</v>
      </c>
      <c r="B121" t="s">
        <v>242</v>
      </c>
      <c r="C121" s="37" t="s">
        <v>668</v>
      </c>
      <c r="G121" t="s">
        <v>421</v>
      </c>
    </row>
    <row r="122" spans="1:7" x14ac:dyDescent="0.3">
      <c r="A122" t="s">
        <v>293</v>
      </c>
      <c r="B122" t="s">
        <v>247</v>
      </c>
      <c r="C122" s="37" t="s">
        <v>669</v>
      </c>
      <c r="G122" t="s">
        <v>422</v>
      </c>
    </row>
    <row r="123" spans="1:7" x14ac:dyDescent="0.3">
      <c r="A123" t="s">
        <v>293</v>
      </c>
      <c r="B123" t="s">
        <v>248</v>
      </c>
      <c r="C123" s="37" t="s">
        <v>661</v>
      </c>
      <c r="G123" t="s">
        <v>414</v>
      </c>
    </row>
    <row r="124" spans="1:7" x14ac:dyDescent="0.3">
      <c r="A124" t="s">
        <v>294</v>
      </c>
      <c r="B124" t="s">
        <v>242</v>
      </c>
      <c r="C124" s="37" t="s">
        <v>670</v>
      </c>
      <c r="G124" t="s">
        <v>423</v>
      </c>
    </row>
    <row r="125" spans="1:7" x14ac:dyDescent="0.3">
      <c r="A125" t="s">
        <v>294</v>
      </c>
      <c r="B125" t="s">
        <v>247</v>
      </c>
      <c r="C125" s="37" t="s">
        <v>671</v>
      </c>
      <c r="G125" t="s">
        <v>424</v>
      </c>
    </row>
    <row r="126" spans="1:7" x14ac:dyDescent="0.3">
      <c r="A126" t="s">
        <v>295</v>
      </c>
      <c r="B126" t="s">
        <v>242</v>
      </c>
      <c r="C126" s="37" t="s">
        <v>672</v>
      </c>
      <c r="G126" t="s">
        <v>425</v>
      </c>
    </row>
    <row r="127" spans="1:7" x14ac:dyDescent="0.3">
      <c r="A127" t="s">
        <v>295</v>
      </c>
      <c r="B127" t="s">
        <v>247</v>
      </c>
      <c r="C127" s="37" t="s">
        <v>673</v>
      </c>
      <c r="G127" t="s">
        <v>426</v>
      </c>
    </row>
    <row r="128" spans="1:7" x14ac:dyDescent="0.3">
      <c r="A128" t="s">
        <v>296</v>
      </c>
      <c r="B128" t="s">
        <v>242</v>
      </c>
      <c r="C128" s="37" t="s">
        <v>674</v>
      </c>
      <c r="G128" t="s">
        <v>427</v>
      </c>
    </row>
    <row r="129" spans="1:7" x14ac:dyDescent="0.3">
      <c r="A129" t="s">
        <v>296</v>
      </c>
      <c r="B129" t="s">
        <v>247</v>
      </c>
      <c r="C129" s="37" t="s">
        <v>675</v>
      </c>
      <c r="G129" t="s">
        <v>428</v>
      </c>
    </row>
    <row r="130" spans="1:7" x14ac:dyDescent="0.3">
      <c r="A130" t="s">
        <v>296</v>
      </c>
      <c r="B130" t="s">
        <v>248</v>
      </c>
      <c r="C130" s="37" t="s">
        <v>676</v>
      </c>
      <c r="G130" t="s">
        <v>429</v>
      </c>
    </row>
    <row r="131" spans="1:7" ht="28.8" x14ac:dyDescent="0.3">
      <c r="A131" t="s">
        <v>297</v>
      </c>
      <c r="B131" t="s">
        <v>242</v>
      </c>
      <c r="C131" s="37" t="s">
        <v>677</v>
      </c>
      <c r="G131" t="s">
        <v>430</v>
      </c>
    </row>
    <row r="132" spans="1:7" x14ac:dyDescent="0.3">
      <c r="A132" t="s">
        <v>297</v>
      </c>
      <c r="B132" t="s">
        <v>247</v>
      </c>
      <c r="C132" s="37" t="s">
        <v>678</v>
      </c>
      <c r="G132" t="s">
        <v>431</v>
      </c>
    </row>
    <row r="133" spans="1:7" x14ac:dyDescent="0.3">
      <c r="A133" t="s">
        <v>297</v>
      </c>
      <c r="B133" t="s">
        <v>248</v>
      </c>
      <c r="C133" s="37" t="s">
        <v>676</v>
      </c>
      <c r="G133" t="s">
        <v>429</v>
      </c>
    </row>
    <row r="134" spans="1:7" ht="28.8" x14ac:dyDescent="0.3">
      <c r="A134" t="s">
        <v>298</v>
      </c>
      <c r="B134" t="s">
        <v>242</v>
      </c>
      <c r="C134" s="37" t="s">
        <v>679</v>
      </c>
      <c r="G134" t="s">
        <v>432</v>
      </c>
    </row>
    <row r="135" spans="1:7" ht="28.8" x14ac:dyDescent="0.3">
      <c r="A135" t="s">
        <v>299</v>
      </c>
      <c r="B135" t="s">
        <v>242</v>
      </c>
      <c r="C135" s="37" t="s">
        <v>679</v>
      </c>
      <c r="G135" t="s">
        <v>432</v>
      </c>
    </row>
    <row r="136" spans="1:7" x14ac:dyDescent="0.3">
      <c r="A136" t="s">
        <v>300</v>
      </c>
      <c r="B136" t="s">
        <v>241</v>
      </c>
      <c r="C136" s="37" t="s">
        <v>680</v>
      </c>
      <c r="G136" t="s">
        <v>433</v>
      </c>
    </row>
    <row r="137" spans="1:7" x14ac:dyDescent="0.3">
      <c r="A137" t="s">
        <v>300</v>
      </c>
      <c r="B137" t="s">
        <v>242</v>
      </c>
      <c r="C137" s="37" t="s">
        <v>681</v>
      </c>
      <c r="G137" t="s">
        <v>434</v>
      </c>
    </row>
    <row r="138" spans="1:7" x14ac:dyDescent="0.3">
      <c r="A138" t="s">
        <v>300</v>
      </c>
      <c r="B138" t="s">
        <v>240</v>
      </c>
      <c r="C138" s="37" t="s">
        <v>682</v>
      </c>
      <c r="G138" t="s">
        <v>435</v>
      </c>
    </row>
    <row r="139" spans="1:7" x14ac:dyDescent="0.3">
      <c r="A139" t="s">
        <v>301</v>
      </c>
      <c r="B139" t="s">
        <v>241</v>
      </c>
      <c r="C139" s="37" t="s">
        <v>683</v>
      </c>
      <c r="G139" t="s">
        <v>436</v>
      </c>
    </row>
    <row r="140" spans="1:7" x14ac:dyDescent="0.3">
      <c r="A140" t="s">
        <v>301</v>
      </c>
      <c r="B140" t="s">
        <v>242</v>
      </c>
      <c r="C140" s="37" t="s">
        <v>684</v>
      </c>
      <c r="G140" t="s">
        <v>437</v>
      </c>
    </row>
    <row r="141" spans="1:7" x14ac:dyDescent="0.3">
      <c r="A141" t="s">
        <v>301</v>
      </c>
      <c r="B141" t="s">
        <v>240</v>
      </c>
      <c r="C141" s="37" t="s">
        <v>685</v>
      </c>
      <c r="G141" t="s">
        <v>438</v>
      </c>
    </row>
    <row r="142" spans="1:7" x14ac:dyDescent="0.3">
      <c r="A142" t="s">
        <v>302</v>
      </c>
      <c r="B142" t="s">
        <v>242</v>
      </c>
      <c r="C142" s="37" t="s">
        <v>686</v>
      </c>
      <c r="G142" t="s">
        <v>439</v>
      </c>
    </row>
    <row r="143" spans="1:7" x14ac:dyDescent="0.3">
      <c r="A143" t="s">
        <v>302</v>
      </c>
      <c r="B143" t="s">
        <v>240</v>
      </c>
      <c r="C143" s="37" t="s">
        <v>687</v>
      </c>
      <c r="G143" t="s">
        <v>440</v>
      </c>
    </row>
    <row r="144" spans="1:7" x14ac:dyDescent="0.3">
      <c r="A144" t="s">
        <v>302</v>
      </c>
      <c r="B144" t="s">
        <v>248</v>
      </c>
      <c r="C144" s="37" t="s">
        <v>688</v>
      </c>
      <c r="G144" t="s">
        <v>441</v>
      </c>
    </row>
    <row r="145" spans="1:7" x14ac:dyDescent="0.3">
      <c r="A145" t="s">
        <v>303</v>
      </c>
      <c r="B145" t="s">
        <v>242</v>
      </c>
      <c r="C145" s="37" t="s">
        <v>689</v>
      </c>
      <c r="G145" t="s">
        <v>442</v>
      </c>
    </row>
    <row r="146" spans="1:7" x14ac:dyDescent="0.3">
      <c r="A146" t="s">
        <v>303</v>
      </c>
      <c r="B146" t="s">
        <v>241</v>
      </c>
      <c r="C146" s="37" t="s">
        <v>690</v>
      </c>
      <c r="G146" t="s">
        <v>443</v>
      </c>
    </row>
    <row r="147" spans="1:7" x14ac:dyDescent="0.3">
      <c r="A147" t="s">
        <v>303</v>
      </c>
      <c r="B147" t="s">
        <v>248</v>
      </c>
      <c r="C147" s="37" t="s">
        <v>691</v>
      </c>
      <c r="G147" t="s">
        <v>444</v>
      </c>
    </row>
    <row r="148" spans="1:7" x14ac:dyDescent="0.3">
      <c r="A148" t="s">
        <v>304</v>
      </c>
      <c r="B148" t="s">
        <v>242</v>
      </c>
      <c r="C148" s="37" t="s">
        <v>657</v>
      </c>
      <c r="G148" t="s">
        <v>410</v>
      </c>
    </row>
    <row r="149" spans="1:7" x14ac:dyDescent="0.3">
      <c r="A149" t="s">
        <v>304</v>
      </c>
      <c r="B149" t="s">
        <v>247</v>
      </c>
      <c r="C149" s="37" t="s">
        <v>692</v>
      </c>
      <c r="G149" t="s">
        <v>445</v>
      </c>
    </row>
    <row r="150" spans="1:7" x14ac:dyDescent="0.3">
      <c r="A150" t="s">
        <v>305</v>
      </c>
      <c r="B150" t="s">
        <v>242</v>
      </c>
      <c r="C150" s="37" t="s">
        <v>657</v>
      </c>
      <c r="G150" t="s">
        <v>410</v>
      </c>
    </row>
    <row r="151" spans="1:7" x14ac:dyDescent="0.3">
      <c r="A151" t="s">
        <v>305</v>
      </c>
      <c r="B151" t="s">
        <v>247</v>
      </c>
      <c r="C151" s="37" t="s">
        <v>692</v>
      </c>
      <c r="G151" t="s">
        <v>445</v>
      </c>
    </row>
    <row r="152" spans="1:7" x14ac:dyDescent="0.3">
      <c r="A152" t="s">
        <v>306</v>
      </c>
      <c r="B152" t="s">
        <v>242</v>
      </c>
      <c r="C152" s="37" t="s">
        <v>693</v>
      </c>
      <c r="G152" t="s">
        <v>446</v>
      </c>
    </row>
    <row r="153" spans="1:7" x14ac:dyDescent="0.3">
      <c r="A153" t="s">
        <v>306</v>
      </c>
      <c r="B153" t="s">
        <v>247</v>
      </c>
      <c r="C153" s="37" t="s">
        <v>694</v>
      </c>
      <c r="G153" t="s">
        <v>447</v>
      </c>
    </row>
    <row r="154" spans="1:7" x14ac:dyDescent="0.3">
      <c r="A154" t="s">
        <v>306</v>
      </c>
      <c r="B154" t="s">
        <v>248</v>
      </c>
      <c r="C154" s="37" t="s">
        <v>695</v>
      </c>
      <c r="G154" t="s">
        <v>448</v>
      </c>
    </row>
    <row r="155" spans="1:7" x14ac:dyDescent="0.3">
      <c r="A155" t="s">
        <v>307</v>
      </c>
      <c r="B155" t="s">
        <v>242</v>
      </c>
      <c r="C155" s="37" t="s">
        <v>693</v>
      </c>
      <c r="G155" t="s">
        <v>446</v>
      </c>
    </row>
    <row r="156" spans="1:7" x14ac:dyDescent="0.3">
      <c r="A156" t="s">
        <v>307</v>
      </c>
      <c r="B156" t="s">
        <v>247</v>
      </c>
      <c r="C156" s="37" t="s">
        <v>694</v>
      </c>
      <c r="G156" t="s">
        <v>447</v>
      </c>
    </row>
    <row r="157" spans="1:7" x14ac:dyDescent="0.3">
      <c r="A157" t="s">
        <v>307</v>
      </c>
      <c r="B157" t="s">
        <v>248</v>
      </c>
      <c r="C157" s="37" t="s">
        <v>696</v>
      </c>
      <c r="G157" t="s">
        <v>449</v>
      </c>
    </row>
    <row r="158" spans="1:7" x14ac:dyDescent="0.3">
      <c r="A158" t="s">
        <v>308</v>
      </c>
      <c r="B158" t="s">
        <v>242</v>
      </c>
      <c r="C158" s="37" t="s">
        <v>662</v>
      </c>
      <c r="G158" t="s">
        <v>415</v>
      </c>
    </row>
    <row r="159" spans="1:7" x14ac:dyDescent="0.3">
      <c r="A159" t="s">
        <v>308</v>
      </c>
      <c r="B159" t="s">
        <v>247</v>
      </c>
      <c r="C159" s="37" t="s">
        <v>697</v>
      </c>
      <c r="G159" t="s">
        <v>450</v>
      </c>
    </row>
    <row r="160" spans="1:7" x14ac:dyDescent="0.3">
      <c r="A160" t="s">
        <v>309</v>
      </c>
      <c r="B160" t="s">
        <v>242</v>
      </c>
      <c r="C160" s="37" t="s">
        <v>662</v>
      </c>
      <c r="G160" t="s">
        <v>415</v>
      </c>
    </row>
    <row r="161" spans="1:7" x14ac:dyDescent="0.3">
      <c r="A161" t="s">
        <v>309</v>
      </c>
      <c r="B161" t="s">
        <v>247</v>
      </c>
      <c r="C161" s="37" t="s">
        <v>697</v>
      </c>
      <c r="G161" t="s">
        <v>450</v>
      </c>
    </row>
    <row r="162" spans="1:7" x14ac:dyDescent="0.3">
      <c r="A162" t="s">
        <v>310</v>
      </c>
      <c r="B162" t="s">
        <v>242</v>
      </c>
      <c r="C162" s="37" t="s">
        <v>698</v>
      </c>
      <c r="G162" t="s">
        <v>451</v>
      </c>
    </row>
    <row r="163" spans="1:7" x14ac:dyDescent="0.3">
      <c r="A163" t="s">
        <v>310</v>
      </c>
      <c r="B163" t="s">
        <v>247</v>
      </c>
      <c r="C163" s="37" t="s">
        <v>699</v>
      </c>
      <c r="G163" t="s">
        <v>452</v>
      </c>
    </row>
    <row r="164" spans="1:7" x14ac:dyDescent="0.3">
      <c r="A164" t="s">
        <v>310</v>
      </c>
      <c r="B164" t="s">
        <v>248</v>
      </c>
      <c r="C164" s="37" t="s">
        <v>695</v>
      </c>
      <c r="G164" t="s">
        <v>448</v>
      </c>
    </row>
    <row r="165" spans="1:7" x14ac:dyDescent="0.3">
      <c r="A165" t="s">
        <v>311</v>
      </c>
      <c r="B165" t="s">
        <v>242</v>
      </c>
      <c r="C165" s="37" t="s">
        <v>698</v>
      </c>
      <c r="G165" t="s">
        <v>451</v>
      </c>
    </row>
    <row r="166" spans="1:7" x14ac:dyDescent="0.3">
      <c r="A166" t="s">
        <v>311</v>
      </c>
      <c r="B166" t="s">
        <v>247</v>
      </c>
      <c r="C166" s="37" t="s">
        <v>699</v>
      </c>
      <c r="G166" t="s">
        <v>452</v>
      </c>
    </row>
    <row r="167" spans="1:7" x14ac:dyDescent="0.3">
      <c r="A167" t="s">
        <v>311</v>
      </c>
      <c r="B167" t="s">
        <v>248</v>
      </c>
      <c r="C167" s="37" t="s">
        <v>696</v>
      </c>
      <c r="G167" t="s">
        <v>449</v>
      </c>
    </row>
    <row r="168" spans="1:7" x14ac:dyDescent="0.3">
      <c r="A168" t="s">
        <v>312</v>
      </c>
      <c r="B168" t="s">
        <v>242</v>
      </c>
      <c r="C168" s="37" t="s">
        <v>700</v>
      </c>
      <c r="G168" t="s">
        <v>453</v>
      </c>
    </row>
    <row r="169" spans="1:7" x14ac:dyDescent="0.3">
      <c r="A169" t="s">
        <v>312</v>
      </c>
      <c r="B169" t="s">
        <v>240</v>
      </c>
      <c r="C169" s="37" t="s">
        <v>701</v>
      </c>
      <c r="G169" t="s">
        <v>454</v>
      </c>
    </row>
    <row r="170" spans="1:7" x14ac:dyDescent="0.3">
      <c r="A170" t="s">
        <v>312</v>
      </c>
      <c r="B170" t="s">
        <v>241</v>
      </c>
      <c r="C170" s="37" t="s">
        <v>702</v>
      </c>
      <c r="G170" t="s">
        <v>455</v>
      </c>
    </row>
    <row r="171" spans="1:7" x14ac:dyDescent="0.3">
      <c r="A171" t="s">
        <v>313</v>
      </c>
      <c r="B171" t="s">
        <v>242</v>
      </c>
      <c r="C171" s="37" t="s">
        <v>703</v>
      </c>
      <c r="G171" t="s">
        <v>456</v>
      </c>
    </row>
    <row r="172" spans="1:7" x14ac:dyDescent="0.3">
      <c r="A172" t="s">
        <v>313</v>
      </c>
      <c r="B172" t="s">
        <v>241</v>
      </c>
      <c r="C172" s="37" t="s">
        <v>704</v>
      </c>
      <c r="G172" t="s">
        <v>457</v>
      </c>
    </row>
    <row r="173" spans="1:7" x14ac:dyDescent="0.3">
      <c r="A173" t="s">
        <v>313</v>
      </c>
      <c r="B173" t="s">
        <v>248</v>
      </c>
      <c r="C173" s="37" t="s">
        <v>705</v>
      </c>
      <c r="G173" t="s">
        <v>458</v>
      </c>
    </row>
    <row r="174" spans="1:7" ht="28.8" x14ac:dyDescent="0.3">
      <c r="A174" t="s">
        <v>314</v>
      </c>
      <c r="B174" t="s">
        <v>242</v>
      </c>
      <c r="C174" s="37" t="s">
        <v>706</v>
      </c>
      <c r="G174" t="s">
        <v>459</v>
      </c>
    </row>
    <row r="175" spans="1:7" x14ac:dyDescent="0.3">
      <c r="A175" t="s">
        <v>470</v>
      </c>
      <c r="B175" t="s">
        <v>242</v>
      </c>
      <c r="C175" s="37" t="s">
        <v>707</v>
      </c>
      <c r="G175" t="s">
        <v>471</v>
      </c>
    </row>
    <row r="176" spans="1:7" x14ac:dyDescent="0.3">
      <c r="A176" t="s">
        <v>470</v>
      </c>
      <c r="B176" t="s">
        <v>241</v>
      </c>
      <c r="C176" s="37" t="s">
        <v>708</v>
      </c>
      <c r="G176" t="s">
        <v>472</v>
      </c>
    </row>
    <row r="177" spans="1:7" x14ac:dyDescent="0.3">
      <c r="A177" t="s">
        <v>470</v>
      </c>
      <c r="B177" t="s">
        <v>240</v>
      </c>
      <c r="C177" s="37" t="s">
        <v>709</v>
      </c>
      <c r="G177" t="s">
        <v>473</v>
      </c>
    </row>
    <row r="178" spans="1:7" x14ac:dyDescent="0.3">
      <c r="A178" t="s">
        <v>470</v>
      </c>
      <c r="B178" t="s">
        <v>247</v>
      </c>
      <c r="C178" s="37" t="s">
        <v>710</v>
      </c>
      <c r="G178" t="s">
        <v>474</v>
      </c>
    </row>
    <row r="179" spans="1:7" x14ac:dyDescent="0.3">
      <c r="A179" t="s">
        <v>470</v>
      </c>
      <c r="B179" t="s">
        <v>248</v>
      </c>
      <c r="C179" s="37" t="s">
        <v>711</v>
      </c>
      <c r="G179" t="s">
        <v>475</v>
      </c>
    </row>
    <row r="180" spans="1:7" x14ac:dyDescent="0.3">
      <c r="A180" t="s">
        <v>256</v>
      </c>
      <c r="B180" t="s">
        <v>241</v>
      </c>
      <c r="C180" t="s">
        <v>712</v>
      </c>
      <c r="G180" t="s">
        <v>476</v>
      </c>
    </row>
    <row r="181" spans="1:7" x14ac:dyDescent="0.3">
      <c r="A181" t="s">
        <v>256</v>
      </c>
      <c r="B181" t="s">
        <v>240</v>
      </c>
      <c r="C181" t="s">
        <v>713</v>
      </c>
      <c r="G181" t="s">
        <v>477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30D80-D63E-443D-B536-4D4D8F6D8E63}">
  <sheetPr codeName="Sheet12">
    <tabColor rgb="FF7030A0"/>
  </sheetPr>
  <dimension ref="A2:U27"/>
  <sheetViews>
    <sheetView showGridLines="0" workbookViewId="0">
      <selection activeCell="L8" sqref="L8"/>
    </sheetView>
  </sheetViews>
  <sheetFormatPr defaultRowHeight="14.4" x14ac:dyDescent="0.3"/>
  <cols>
    <col min="8" max="8" width="13" customWidth="1"/>
    <col min="20" max="20" width="7.109375" customWidth="1"/>
    <col min="21" max="21" width="11.88671875" customWidth="1"/>
  </cols>
  <sheetData>
    <row r="2" spans="1:21" x14ac:dyDescent="0.3">
      <c r="P2" t="s">
        <v>1338</v>
      </c>
    </row>
    <row r="3" spans="1:21" x14ac:dyDescent="0.3">
      <c r="A3" s="53" t="s">
        <v>227</v>
      </c>
      <c r="C3" s="53" t="s">
        <v>204</v>
      </c>
      <c r="H3" s="1" t="s">
        <v>732</v>
      </c>
      <c r="P3" s="1" t="s">
        <v>732</v>
      </c>
    </row>
    <row r="4" spans="1:21" ht="14.4" customHeight="1" x14ac:dyDescent="0.3">
      <c r="A4" t="s">
        <v>128</v>
      </c>
      <c r="C4">
        <f ca="1">AVERAGEIF(Strat_Pos, "&lt;&gt;0", BBG_Data!$L$3:$L$6)</f>
        <v>27.002357431303544</v>
      </c>
      <c r="H4" t="s">
        <v>214</v>
      </c>
      <c r="I4" t="s">
        <v>733</v>
      </c>
      <c r="J4" t="s">
        <v>122</v>
      </c>
      <c r="K4" t="s">
        <v>734</v>
      </c>
      <c r="L4" t="s">
        <v>16</v>
      </c>
      <c r="M4" t="s">
        <v>88</v>
      </c>
      <c r="P4" t="s">
        <v>214</v>
      </c>
      <c r="Q4" t="s">
        <v>733</v>
      </c>
      <c r="R4" t="s">
        <v>734</v>
      </c>
      <c r="S4" t="s">
        <v>16</v>
      </c>
      <c r="T4" t="s">
        <v>122</v>
      </c>
      <c r="U4" t="s">
        <v>88</v>
      </c>
    </row>
    <row r="5" spans="1:21" x14ac:dyDescent="0.3">
      <c r="A5" t="s">
        <v>131</v>
      </c>
      <c r="H5" t="str">
        <f>IF(Leg1_Pos&lt;=0,"Sell ",IF(Leg1_Pos&gt;=1,"Buy ",""))</f>
        <v xml:space="preserve">Buy </v>
      </c>
      <c r="I5" t="str">
        <f>ABS(Leg1_Pos)&amp;" "</f>
        <v xml:space="preserve">1 </v>
      </c>
      <c r="J5" t="str">
        <f>Leg1_Type&amp; IF(ABS(Leg1_Pos)=1,"","s")</f>
        <v>Put</v>
      </c>
      <c r="K5" t="str">
        <f>TEXT(Sel_ExpiryDate, "mmmm d, yyyy")</f>
        <v>March 20, 2026</v>
      </c>
      <c r="L5" t="str">
        <f>"   $" &amp;Leg1_Strike&amp;" "</f>
        <v xml:space="preserve">   $400 </v>
      </c>
      <c r="M5" t="str">
        <f>TEXT(Leg1_Price, "$#,##0.00")</f>
        <v>$2.24</v>
      </c>
      <c r="P5" t="str">
        <f>IF(Leg1_Pos&lt;=0,"Sell ",IF(Leg1_Pos&gt;=1,"Buy ",""))</f>
        <v xml:space="preserve">Buy </v>
      </c>
      <c r="Q5" t="str">
        <f>ABS(Leg1_Pos)&amp;"   "</f>
        <v xml:space="preserve">1   </v>
      </c>
      <c r="R5" t="str">
        <f>TEXT(Sel_ExpiryDate, "mmmm d, yyyy")</f>
        <v>March 20, 2026</v>
      </c>
      <c r="S5" t="str">
        <f>"   $" &amp;Leg1_Strike&amp;" "</f>
        <v xml:space="preserve">   $400 </v>
      </c>
      <c r="T5" t="str">
        <f>Leg1_Type&amp; IF(ABS(Leg1_Pos)=1,"","s")</f>
        <v>Put</v>
      </c>
      <c r="U5" t="str">
        <f>"   at "&amp;TEXT(Leg1_Price, "$#,##0.00")</f>
        <v xml:space="preserve">   at $2.24</v>
      </c>
    </row>
    <row r="6" spans="1:21" x14ac:dyDescent="0.3">
      <c r="H6" t="str">
        <f>IF(Leg2_Pos&lt;=0,"Sell ",IF(Leg2_Pos&gt;=1,"Buy ",""))</f>
        <v xml:space="preserve">Sell </v>
      </c>
      <c r="I6" t="str">
        <f>ABS(Leg2_Pos)&amp;" "</f>
        <v xml:space="preserve">1 </v>
      </c>
      <c r="J6" t="str">
        <f>Leg2_Type&amp; IF(ABS(Leg2_Pos)=1,"","s")</f>
        <v>Put</v>
      </c>
      <c r="K6" t="str">
        <f>TEXT(Sel_ExpiryDate, "mmmm d, yyyy")</f>
        <v>March 20, 2026</v>
      </c>
      <c r="L6" t="str">
        <f>"   $" &amp;Leg2_Strike&amp;" "</f>
        <v xml:space="preserve">   $450 </v>
      </c>
      <c r="M6" t="str">
        <f>TEXT(Leg2_Price, "$#,##0.00")</f>
        <v>$9.50</v>
      </c>
      <c r="P6" t="str">
        <f>IF(Leg2_Pos&lt;=0,"Sell ",IF(Leg2_Pos&gt;=1,"Buy ",""))</f>
        <v xml:space="preserve">Sell </v>
      </c>
      <c r="Q6" t="str">
        <f>ABS(Leg2_Pos)&amp;"   "</f>
        <v xml:space="preserve">1   </v>
      </c>
      <c r="R6" t="str">
        <f>TEXT(Sel_ExpiryDate, "mmmm d, yyyy")</f>
        <v>March 20, 2026</v>
      </c>
      <c r="S6" t="str">
        <f>"   $" &amp;Leg2_Strike&amp;" "</f>
        <v xml:space="preserve">   $450 </v>
      </c>
      <c r="T6" t="str">
        <f>Leg2_Type&amp; IF(ABS(Leg2_Pos)=1,"","s")</f>
        <v>Put</v>
      </c>
      <c r="U6" t="str">
        <f>"   at "&amp;TEXT(Leg2_Price, "$#,##0.00")</f>
        <v xml:space="preserve">   at $9.50</v>
      </c>
    </row>
    <row r="7" spans="1:21" x14ac:dyDescent="0.3">
      <c r="H7" t="str">
        <f>IF(Leg3_Pos&lt;=0,"Sell ",IF(Leg3_Pos&gt;=1,"Buy ",""))</f>
        <v xml:space="preserve">Sell </v>
      </c>
      <c r="I7" t="str">
        <f>ABS(Leg3_Pos)&amp;" "</f>
        <v xml:space="preserve">1 </v>
      </c>
      <c r="J7" t="str">
        <f>Leg3_Type&amp; IF(ABS(Leg3_Pos)=1,"","s")</f>
        <v>Call</v>
      </c>
      <c r="K7" t="str">
        <f>TEXT(Sel_ExpiryDate, "mmmm d, yyyy")</f>
        <v>March 20, 2026</v>
      </c>
      <c r="L7" t="str">
        <f>"   $" &amp;Leg3_Strike&amp;" "</f>
        <v xml:space="preserve">   $500 </v>
      </c>
      <c r="M7" t="str">
        <f>TEXT(Leg3_Price, "$#,##0.00")</f>
        <v>$13.50</v>
      </c>
      <c r="P7" t="str">
        <f>IF(Leg3_Pos&lt;=0,"Sell ",IF(Leg3_Pos&gt;=1,"Buy ",""))</f>
        <v xml:space="preserve">Sell </v>
      </c>
      <c r="Q7" t="str">
        <f>ABS(Leg3_Pos)&amp;"   "</f>
        <v xml:space="preserve">1   </v>
      </c>
      <c r="R7" t="str">
        <f>TEXT(Sel_ExpiryDate, "mmmm d, yyyy")</f>
        <v>March 20, 2026</v>
      </c>
      <c r="S7" t="str">
        <f>"   $" &amp;Leg3_Strike&amp;" "</f>
        <v xml:space="preserve">   $500 </v>
      </c>
      <c r="T7" t="str">
        <f>Leg3_Type&amp; IF(ABS(Leg3_Pos)=1,"","s")</f>
        <v>Call</v>
      </c>
      <c r="U7" t="str">
        <f>"   at "&amp;TEXT(Leg3_Price, "$#,##0.00")</f>
        <v xml:space="preserve">   at $13.50</v>
      </c>
    </row>
    <row r="8" spans="1:21" x14ac:dyDescent="0.3">
      <c r="H8" t="str">
        <f>IF(Leg4_Pos&lt;=0,"Sell ",IF(Leg4_Pos&gt;=1,"Buy ",""))</f>
        <v xml:space="preserve">Buy </v>
      </c>
      <c r="I8" t="str">
        <f>ABS(Leg4_Pos)&amp;" "</f>
        <v xml:space="preserve">1 </v>
      </c>
      <c r="J8" t="str">
        <f>Leg4_Type&amp; IF(ABS(Leg4_Pos)=1,"","s")</f>
        <v>Call</v>
      </c>
      <c r="K8" t="str">
        <f>TEXT(Sel_ExpiryDate, "mmmm d, yyyy")</f>
        <v>March 20, 2026</v>
      </c>
      <c r="L8" t="str">
        <f>"   $" &amp;Leg4_Strike&amp;" "</f>
        <v xml:space="preserve">   $550 </v>
      </c>
      <c r="M8" t="str">
        <f>TEXT(Leg4_Price, "$#,##0.00")</f>
        <v>$2.89</v>
      </c>
      <c r="P8" t="str">
        <f>IF(Leg4_Pos&lt;=0,"Sell ",IF(Leg4_Pos&gt;=1,"Buy ",""))</f>
        <v xml:space="preserve">Buy </v>
      </c>
      <c r="Q8" t="str">
        <f>ABS(Leg4_Pos)&amp;"   "</f>
        <v xml:space="preserve">1   </v>
      </c>
      <c r="R8" t="str">
        <f>TEXT(Sel_ExpiryDate, "mmmm d, yyyy")</f>
        <v>March 20, 2026</v>
      </c>
      <c r="S8" t="str">
        <f>"   $" &amp;Leg4_Strike&amp;" "</f>
        <v xml:space="preserve">   $550 </v>
      </c>
      <c r="T8" t="str">
        <f>Leg4_Type&amp; IF(ABS(Leg4_Pos)=1,"","s")</f>
        <v>Call</v>
      </c>
      <c r="U8" t="str">
        <f>"   at "&amp;TEXT(Leg4_Price, "$#,##0.00")</f>
        <v xml:space="preserve">   at $2.89</v>
      </c>
    </row>
    <row r="11" spans="1:21" x14ac:dyDescent="0.3">
      <c r="H11" t="s">
        <v>216</v>
      </c>
      <c r="I11" t="str">
        <f>TEXT(Net_Prem, "$#,##0.00")</f>
        <v>$1,787.00</v>
      </c>
    </row>
    <row r="12" spans="1:21" x14ac:dyDescent="0.3">
      <c r="H12" t="s">
        <v>1355</v>
      </c>
      <c r="I12" t="str">
        <f>IF(I11&gt;0,"Net Credit =","Net Debit =")</f>
        <v>Net Credit =</v>
      </c>
    </row>
    <row r="16" spans="1:21" x14ac:dyDescent="0.3">
      <c r="A16" s="53" t="s">
        <v>551</v>
      </c>
      <c r="B16" s="52"/>
    </row>
    <row r="17" spans="1:2" x14ac:dyDescent="0.3">
      <c r="A17" s="178" t="s">
        <v>560</v>
      </c>
      <c r="B17" s="178"/>
    </row>
    <row r="18" spans="1:2" x14ac:dyDescent="0.3">
      <c r="A18" s="178"/>
      <c r="B18" s="178"/>
    </row>
    <row r="19" spans="1:2" x14ac:dyDescent="0.3">
      <c r="A19" s="178"/>
      <c r="B19" s="178"/>
    </row>
    <row r="20" spans="1:2" ht="409.6" x14ac:dyDescent="0.3">
      <c r="A20" s="92" t="s">
        <v>478</v>
      </c>
      <c r="B20" s="93" t="s">
        <v>552</v>
      </c>
    </row>
    <row r="21" spans="1:2" ht="386.4" x14ac:dyDescent="0.3">
      <c r="A21" s="92" t="s">
        <v>479</v>
      </c>
      <c r="B21" s="93" t="s">
        <v>553</v>
      </c>
    </row>
    <row r="22" spans="1:2" ht="358.8" x14ac:dyDescent="0.3">
      <c r="A22" s="92" t="s">
        <v>549</v>
      </c>
      <c r="B22" s="93" t="s">
        <v>554</v>
      </c>
    </row>
    <row r="23" spans="1:2" ht="55.2" x14ac:dyDescent="0.3">
      <c r="A23" s="92" t="s">
        <v>483</v>
      </c>
      <c r="B23" s="93" t="s">
        <v>555</v>
      </c>
    </row>
    <row r="24" spans="1:2" ht="409.6" x14ac:dyDescent="0.3">
      <c r="A24" s="92" t="s">
        <v>216</v>
      </c>
      <c r="B24" s="93" t="s">
        <v>556</v>
      </c>
    </row>
    <row r="25" spans="1:2" ht="409.6" x14ac:dyDescent="0.3">
      <c r="A25" s="92" t="s">
        <v>484</v>
      </c>
      <c r="B25" s="93" t="s">
        <v>557</v>
      </c>
    </row>
    <row r="26" spans="1:2" ht="409.6" x14ac:dyDescent="0.3">
      <c r="A26" s="92" t="s">
        <v>550</v>
      </c>
      <c r="B26" s="93" t="s">
        <v>558</v>
      </c>
    </row>
    <row r="27" spans="1:2" ht="193.2" x14ac:dyDescent="0.3">
      <c r="A27" s="92" t="s">
        <v>485</v>
      </c>
      <c r="B27" s="93" t="s">
        <v>559</v>
      </c>
    </row>
  </sheetData>
  <mergeCells count="1">
    <mergeCell ref="A17:B1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40A84-C6FB-463E-B0E5-07332B30AC33}">
  <sheetPr codeName="Sheet4">
    <tabColor rgb="FFFF0000"/>
  </sheetPr>
  <dimension ref="A1:H76"/>
  <sheetViews>
    <sheetView showGridLines="0" topLeftCell="A10" workbookViewId="0">
      <selection activeCell="B23" sqref="B23"/>
    </sheetView>
  </sheetViews>
  <sheetFormatPr defaultRowHeight="14.4" x14ac:dyDescent="0.3"/>
  <cols>
    <col min="1" max="1" width="10.21875" bestFit="1" customWidth="1"/>
    <col min="2" max="2" width="129.33203125" customWidth="1"/>
    <col min="3" max="3" width="10.21875" customWidth="1"/>
    <col min="4" max="5" width="10" customWidth="1"/>
    <col min="7" max="7" width="10.33203125" bestFit="1" customWidth="1"/>
  </cols>
  <sheetData>
    <row r="1" spans="1:7" x14ac:dyDescent="0.3">
      <c r="A1" s="110" t="s">
        <v>738</v>
      </c>
      <c r="B1" s="110" t="s">
        <v>206</v>
      </c>
      <c r="C1" s="1"/>
      <c r="D1" s="1"/>
    </row>
    <row r="2" spans="1:7" x14ac:dyDescent="0.3">
      <c r="A2" s="111"/>
      <c r="B2" s="111"/>
    </row>
    <row r="3" spans="1:7" x14ac:dyDescent="0.3">
      <c r="A3" s="179" t="s">
        <v>741</v>
      </c>
      <c r="B3" s="179"/>
    </row>
    <row r="4" spans="1:7" x14ac:dyDescent="0.3">
      <c r="A4" s="28" t="s">
        <v>92</v>
      </c>
      <c r="B4" s="28" t="s">
        <v>740</v>
      </c>
    </row>
    <row r="5" spans="1:7" x14ac:dyDescent="0.3">
      <c r="A5" s="28" t="s">
        <v>746</v>
      </c>
      <c r="B5" s="111" t="s">
        <v>745</v>
      </c>
      <c r="C5" s="1"/>
      <c r="D5" s="1"/>
    </row>
    <row r="6" spans="1:7" x14ac:dyDescent="0.3">
      <c r="A6" s="28" t="s">
        <v>94</v>
      </c>
      <c r="B6" s="131" t="s">
        <v>774</v>
      </c>
    </row>
    <row r="7" spans="1:7" x14ac:dyDescent="0.3">
      <c r="A7" s="28" t="s">
        <v>92</v>
      </c>
      <c r="B7" s="28" t="s">
        <v>763</v>
      </c>
    </row>
    <row r="8" spans="1:7" x14ac:dyDescent="0.3">
      <c r="A8" s="28"/>
      <c r="B8" s="28" t="s">
        <v>1327</v>
      </c>
    </row>
    <row r="9" spans="1:7" x14ac:dyDescent="0.3">
      <c r="A9" s="28"/>
      <c r="B9" s="28"/>
    </row>
    <row r="10" spans="1:7" x14ac:dyDescent="0.3">
      <c r="A10" s="179" t="s">
        <v>739</v>
      </c>
      <c r="B10" s="179"/>
      <c r="G10" s="4"/>
    </row>
    <row r="11" spans="1:7" x14ac:dyDescent="0.3">
      <c r="A11" s="28" t="s">
        <v>746</v>
      </c>
      <c r="B11" s="111" t="s">
        <v>747</v>
      </c>
      <c r="C11" s="1"/>
      <c r="D11" s="1"/>
      <c r="G11" s="4"/>
    </row>
    <row r="12" spans="1:7" x14ac:dyDescent="0.3">
      <c r="A12" s="28" t="s">
        <v>94</v>
      </c>
      <c r="B12" s="111" t="s">
        <v>207</v>
      </c>
      <c r="G12" s="4"/>
    </row>
    <row r="13" spans="1:7" x14ac:dyDescent="0.3">
      <c r="A13" s="28" t="s">
        <v>94</v>
      </c>
      <c r="B13" s="111" t="s">
        <v>736</v>
      </c>
      <c r="G13" s="4"/>
    </row>
    <row r="14" spans="1:7" x14ac:dyDescent="0.3">
      <c r="A14" s="28" t="s">
        <v>94</v>
      </c>
      <c r="B14" s="111" t="s">
        <v>765</v>
      </c>
      <c r="G14" s="4"/>
    </row>
    <row r="15" spans="1:7" x14ac:dyDescent="0.3">
      <c r="A15" s="9" t="s">
        <v>209</v>
      </c>
      <c r="B15" s="131" t="s">
        <v>760</v>
      </c>
      <c r="G15" s="4"/>
    </row>
    <row r="16" spans="1:7" x14ac:dyDescent="0.3">
      <c r="A16" s="9"/>
      <c r="B16" s="9"/>
      <c r="G16" s="4"/>
    </row>
    <row r="17" spans="1:7" x14ac:dyDescent="0.3">
      <c r="A17" s="28"/>
      <c r="B17" s="28"/>
      <c r="G17" s="4"/>
    </row>
    <row r="18" spans="1:7" x14ac:dyDescent="0.3">
      <c r="A18" s="179" t="s">
        <v>742</v>
      </c>
      <c r="B18" s="179"/>
      <c r="G18" s="4"/>
    </row>
    <row r="19" spans="1:7" x14ac:dyDescent="0.3">
      <c r="A19" s="28" t="s">
        <v>209</v>
      </c>
      <c r="B19" s="133" t="s">
        <v>748</v>
      </c>
      <c r="G19" s="4"/>
    </row>
    <row r="20" spans="1:7" x14ac:dyDescent="0.3">
      <c r="A20" s="28" t="s">
        <v>209</v>
      </c>
      <c r="B20" s="132" t="s">
        <v>773</v>
      </c>
      <c r="C20" s="1"/>
      <c r="D20" s="1"/>
      <c r="G20" s="4"/>
    </row>
    <row r="21" spans="1:7" x14ac:dyDescent="0.3">
      <c r="A21" t="s">
        <v>92</v>
      </c>
      <c r="B21" s="132" t="s">
        <v>753</v>
      </c>
      <c r="G21" s="4"/>
    </row>
    <row r="22" spans="1:7" x14ac:dyDescent="0.3">
      <c r="A22" s="28" t="s">
        <v>92</v>
      </c>
      <c r="B22" s="28" t="s">
        <v>756</v>
      </c>
      <c r="G22" s="4"/>
    </row>
    <row r="23" spans="1:7" x14ac:dyDescent="0.3">
      <c r="A23" s="28" t="s">
        <v>746</v>
      </c>
      <c r="B23" s="28" t="s">
        <v>757</v>
      </c>
      <c r="C23" s="1"/>
      <c r="D23" s="1"/>
      <c r="G23" s="4"/>
    </row>
    <row r="24" spans="1:7" x14ac:dyDescent="0.3">
      <c r="A24" s="28" t="s">
        <v>209</v>
      </c>
      <c r="B24" s="134" t="s">
        <v>766</v>
      </c>
      <c r="C24" s="1"/>
      <c r="D24" s="1"/>
      <c r="G24" s="4"/>
    </row>
    <row r="25" spans="1:7" x14ac:dyDescent="0.3">
      <c r="A25" s="28"/>
      <c r="B25" s="28"/>
      <c r="C25" s="1"/>
      <c r="D25" s="1"/>
      <c r="G25" s="4"/>
    </row>
    <row r="26" spans="1:7" x14ac:dyDescent="0.3">
      <c r="A26" s="179" t="s">
        <v>743</v>
      </c>
      <c r="B26" s="179"/>
      <c r="C26" s="1"/>
      <c r="D26" s="1"/>
      <c r="G26" s="4"/>
    </row>
    <row r="27" spans="1:7" x14ac:dyDescent="0.3">
      <c r="A27" s="28" t="s">
        <v>92</v>
      </c>
      <c r="B27" s="111" t="s">
        <v>759</v>
      </c>
      <c r="C27" s="1"/>
      <c r="D27" s="1"/>
      <c r="G27" s="4"/>
    </row>
    <row r="28" spans="1:7" x14ac:dyDescent="0.3">
      <c r="A28" s="28" t="s">
        <v>761</v>
      </c>
      <c r="B28" s="115" t="s">
        <v>762</v>
      </c>
      <c r="C28" s="1"/>
      <c r="D28" s="1"/>
      <c r="G28" s="4"/>
    </row>
    <row r="29" spans="1:7" x14ac:dyDescent="0.3">
      <c r="A29" s="28" t="s">
        <v>761</v>
      </c>
      <c r="B29" s="111" t="s">
        <v>737</v>
      </c>
      <c r="C29" s="1"/>
      <c r="G29" s="4"/>
    </row>
    <row r="30" spans="1:7" x14ac:dyDescent="0.3">
      <c r="A30" s="28" t="s">
        <v>761</v>
      </c>
      <c r="B30" s="111" t="s">
        <v>735</v>
      </c>
      <c r="G30" s="4"/>
    </row>
    <row r="31" spans="1:7" x14ac:dyDescent="0.3">
      <c r="A31" s="28"/>
      <c r="B31" s="111"/>
      <c r="G31" s="4"/>
    </row>
    <row r="32" spans="1:7" x14ac:dyDescent="0.3">
      <c r="A32" s="28"/>
      <c r="B32" s="28"/>
      <c r="G32" s="4"/>
    </row>
    <row r="33" spans="1:7" x14ac:dyDescent="0.3">
      <c r="A33" s="179" t="s">
        <v>744</v>
      </c>
      <c r="B33" s="179"/>
      <c r="G33" s="4"/>
    </row>
    <row r="34" spans="1:7" x14ac:dyDescent="0.3">
      <c r="A34" s="34"/>
      <c r="B34" s="112" t="s">
        <v>758</v>
      </c>
      <c r="G34" s="4"/>
    </row>
    <row r="35" spans="1:7" x14ac:dyDescent="0.3">
      <c r="A35" s="34"/>
      <c r="B35" s="112" t="s">
        <v>755</v>
      </c>
      <c r="G35" s="4"/>
    </row>
    <row r="36" spans="1:7" x14ac:dyDescent="0.3">
      <c r="A36" s="34"/>
      <c r="B36" s="112" t="s">
        <v>764</v>
      </c>
      <c r="G36" s="4"/>
    </row>
    <row r="37" spans="1:7" x14ac:dyDescent="0.3">
      <c r="A37" s="34"/>
      <c r="B37" s="112"/>
      <c r="G37" s="4"/>
    </row>
    <row r="38" spans="1:7" x14ac:dyDescent="0.3">
      <c r="A38" s="28"/>
      <c r="B38" s="112"/>
      <c r="G38" s="4"/>
    </row>
    <row r="39" spans="1:7" x14ac:dyDescent="0.3">
      <c r="A39" s="179" t="s">
        <v>749</v>
      </c>
      <c r="B39" s="179"/>
      <c r="G39" s="4"/>
    </row>
    <row r="40" spans="1:7" x14ac:dyDescent="0.3">
      <c r="A40" s="111"/>
      <c r="B40" s="111" t="s">
        <v>750</v>
      </c>
      <c r="C40" s="97"/>
      <c r="D40" s="97"/>
      <c r="G40" s="4"/>
    </row>
    <row r="41" spans="1:7" x14ac:dyDescent="0.3">
      <c r="A41" s="111"/>
      <c r="B41" s="111" t="s">
        <v>752</v>
      </c>
      <c r="C41" s="97"/>
      <c r="D41" s="97"/>
      <c r="G41" s="4"/>
    </row>
    <row r="42" spans="1:7" x14ac:dyDescent="0.3">
      <c r="A42" s="111"/>
      <c r="B42" s="111" t="s">
        <v>751</v>
      </c>
      <c r="C42" s="98"/>
      <c r="D42" s="98"/>
      <c r="G42" s="4"/>
    </row>
    <row r="43" spans="1:7" x14ac:dyDescent="0.3">
      <c r="A43" s="111" t="s">
        <v>94</v>
      </c>
      <c r="B43" s="133" t="s">
        <v>754</v>
      </c>
      <c r="C43" s="99"/>
      <c r="D43" s="99"/>
      <c r="G43" s="4"/>
    </row>
    <row r="44" spans="1:7" x14ac:dyDescent="0.3">
      <c r="A44" s="111"/>
      <c r="B44" s="111"/>
      <c r="C44" s="100"/>
      <c r="D44" s="100"/>
      <c r="G44" s="4"/>
    </row>
    <row r="45" spans="1:7" x14ac:dyDescent="0.3">
      <c r="A45" s="111"/>
      <c r="B45" s="111"/>
      <c r="C45" s="100"/>
      <c r="D45" s="100"/>
      <c r="G45" s="4"/>
    </row>
    <row r="46" spans="1:7" x14ac:dyDescent="0.3">
      <c r="A46" s="111"/>
      <c r="B46" s="111"/>
      <c r="C46" s="99"/>
      <c r="D46" s="99"/>
      <c r="G46" s="4"/>
    </row>
    <row r="47" spans="1:7" x14ac:dyDescent="0.3">
      <c r="A47" s="111"/>
      <c r="B47" s="111"/>
      <c r="C47" s="100"/>
      <c r="D47" s="100"/>
    </row>
    <row r="48" spans="1:7" x14ac:dyDescent="0.3">
      <c r="A48" s="111"/>
      <c r="B48" s="111"/>
      <c r="C48" s="100"/>
      <c r="D48" s="100"/>
    </row>
    <row r="49" spans="2:8" x14ac:dyDescent="0.3">
      <c r="B49" s="97"/>
      <c r="C49" s="100"/>
      <c r="D49" s="100"/>
    </row>
    <row r="50" spans="2:8" x14ac:dyDescent="0.3">
      <c r="B50" s="97"/>
      <c r="C50" s="100"/>
      <c r="D50" s="100"/>
    </row>
    <row r="51" spans="2:8" x14ac:dyDescent="0.3">
      <c r="B51" s="98"/>
      <c r="C51" s="99"/>
      <c r="D51" s="99"/>
    </row>
    <row r="52" spans="2:8" x14ac:dyDescent="0.3">
      <c r="B52" s="99"/>
      <c r="C52" s="100"/>
      <c r="D52" s="100"/>
      <c r="G52" s="2"/>
      <c r="H52" s="2"/>
    </row>
    <row r="53" spans="2:8" x14ac:dyDescent="0.3">
      <c r="B53" s="100"/>
      <c r="C53" s="98"/>
      <c r="D53" s="98"/>
      <c r="G53" s="2"/>
      <c r="H53" s="2"/>
    </row>
    <row r="54" spans="2:8" x14ac:dyDescent="0.3">
      <c r="B54" s="100"/>
      <c r="C54" s="101"/>
      <c r="D54" s="101"/>
      <c r="G54" s="2"/>
      <c r="H54" s="2"/>
    </row>
    <row r="55" spans="2:8" x14ac:dyDescent="0.3">
      <c r="B55" s="99"/>
      <c r="C55" s="98"/>
      <c r="D55" s="98"/>
      <c r="G55" s="2"/>
      <c r="H55" s="2"/>
    </row>
    <row r="56" spans="2:8" x14ac:dyDescent="0.3">
      <c r="B56" s="100"/>
      <c r="C56" s="99"/>
      <c r="D56" s="99"/>
      <c r="G56" s="2"/>
      <c r="H56" s="2"/>
    </row>
    <row r="57" spans="2:8" x14ac:dyDescent="0.3">
      <c r="B57" s="100"/>
      <c r="C57" s="99"/>
      <c r="D57" s="99"/>
    </row>
    <row r="58" spans="2:8" x14ac:dyDescent="0.3">
      <c r="B58" s="100"/>
      <c r="C58" s="99"/>
      <c r="D58" s="99"/>
    </row>
    <row r="59" spans="2:8" x14ac:dyDescent="0.3">
      <c r="B59" s="99"/>
      <c r="C59" s="99"/>
      <c r="D59" s="99"/>
    </row>
    <row r="60" spans="2:8" x14ac:dyDescent="0.3">
      <c r="B60" s="100"/>
      <c r="C60" s="98"/>
      <c r="D60" s="98"/>
    </row>
    <row r="61" spans="2:8" x14ac:dyDescent="0.3">
      <c r="B61" s="98"/>
      <c r="C61" s="98"/>
      <c r="D61" s="98"/>
    </row>
    <row r="62" spans="2:8" x14ac:dyDescent="0.3">
      <c r="B62" s="101"/>
      <c r="C62" s="97"/>
      <c r="D62" s="97"/>
    </row>
    <row r="63" spans="2:8" x14ac:dyDescent="0.3">
      <c r="B63" s="98"/>
      <c r="C63" s="101"/>
      <c r="D63" s="101"/>
    </row>
    <row r="64" spans="2:8" x14ac:dyDescent="0.3">
      <c r="B64" s="99"/>
      <c r="C64" s="101"/>
      <c r="D64" s="101"/>
    </row>
    <row r="65" spans="2:4" x14ac:dyDescent="0.3">
      <c r="B65" s="99"/>
      <c r="C65" s="102"/>
      <c r="D65" s="102"/>
    </row>
    <row r="66" spans="2:4" x14ac:dyDescent="0.3">
      <c r="B66" s="99"/>
      <c r="C66" s="102"/>
      <c r="D66" s="102"/>
    </row>
    <row r="67" spans="2:4" x14ac:dyDescent="0.3">
      <c r="B67" s="99"/>
      <c r="C67" s="98"/>
      <c r="D67" s="98"/>
    </row>
    <row r="68" spans="2:4" x14ac:dyDescent="0.3">
      <c r="B68" s="98"/>
      <c r="C68" s="97"/>
      <c r="D68" s="97"/>
    </row>
    <row r="69" spans="2:4" x14ac:dyDescent="0.3">
      <c r="B69" s="98"/>
    </row>
    <row r="70" spans="2:4" x14ac:dyDescent="0.3">
      <c r="B70" s="97"/>
    </row>
    <row r="71" spans="2:4" x14ac:dyDescent="0.3">
      <c r="B71" s="101"/>
    </row>
    <row r="72" spans="2:4" x14ac:dyDescent="0.3">
      <c r="B72" s="101"/>
    </row>
    <row r="73" spans="2:4" x14ac:dyDescent="0.3">
      <c r="B73" s="102"/>
    </row>
    <row r="74" spans="2:4" x14ac:dyDescent="0.3">
      <c r="B74" s="102"/>
    </row>
    <row r="75" spans="2:4" x14ac:dyDescent="0.3">
      <c r="B75" s="98"/>
    </row>
    <row r="76" spans="2:4" x14ac:dyDescent="0.3">
      <c r="B76" s="97"/>
    </row>
  </sheetData>
  <mergeCells count="6">
    <mergeCell ref="A39:B39"/>
    <mergeCell ref="A3:B3"/>
    <mergeCell ref="A10:B10"/>
    <mergeCell ref="A18:B18"/>
    <mergeCell ref="A26:B26"/>
    <mergeCell ref="A33:B3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6FB55-BBAD-4404-B8C1-5C12C1DDFFBA}">
  <sheetPr codeName="Sheet9"/>
  <dimension ref="B4:P23"/>
  <sheetViews>
    <sheetView workbookViewId="0">
      <selection activeCell="E5" sqref="E5"/>
    </sheetView>
  </sheetViews>
  <sheetFormatPr defaultRowHeight="14.4" x14ac:dyDescent="0.3"/>
  <cols>
    <col min="1" max="1" width="2.21875" customWidth="1"/>
    <col min="2" max="2" width="24.6640625" bestFit="1" customWidth="1"/>
    <col min="3" max="3" width="9.88671875" bestFit="1" customWidth="1"/>
    <col min="4" max="4" width="3.5546875" customWidth="1"/>
    <col min="5" max="5" width="24.109375" bestFit="1" customWidth="1"/>
    <col min="7" max="7" width="10.109375" customWidth="1"/>
    <col min="10" max="10" width="10.5546875" bestFit="1" customWidth="1"/>
    <col min="11" max="11" width="11.109375" bestFit="1" customWidth="1"/>
  </cols>
  <sheetData>
    <row r="4" spans="2:16" x14ac:dyDescent="0.3">
      <c r="B4" t="s">
        <v>1353</v>
      </c>
      <c r="E4" t="s">
        <v>1354</v>
      </c>
    </row>
    <row r="5" spans="2:16" x14ac:dyDescent="0.3">
      <c r="B5" s="41" t="s">
        <v>232</v>
      </c>
      <c r="C5" s="41" t="s">
        <v>193</v>
      </c>
      <c r="E5" s="41" t="s">
        <v>232</v>
      </c>
      <c r="F5" s="148" t="s">
        <v>193</v>
      </c>
      <c r="G5" s="41" t="s">
        <v>194</v>
      </c>
    </row>
    <row r="6" spans="2:16" x14ac:dyDescent="0.3">
      <c r="B6" s="181" t="s">
        <v>233</v>
      </c>
      <c r="C6" s="182">
        <v>1919.3903561643833</v>
      </c>
      <c r="E6" s="181" t="s">
        <v>233</v>
      </c>
      <c r="F6" s="182">
        <v>1350</v>
      </c>
      <c r="G6" s="182">
        <v>21510.722936986309</v>
      </c>
    </row>
    <row r="7" spans="2:16" x14ac:dyDescent="0.3">
      <c r="B7" s="181" t="s">
        <v>234</v>
      </c>
      <c r="C7" s="182">
        <v>-45080.609643835618</v>
      </c>
      <c r="E7" s="181" t="s">
        <v>234</v>
      </c>
      <c r="F7" s="182" t="s">
        <v>252</v>
      </c>
      <c r="G7" s="182">
        <v>-28489.277063013698</v>
      </c>
    </row>
    <row r="8" spans="2:16" x14ac:dyDescent="0.3">
      <c r="B8" s="181" t="s">
        <v>715</v>
      </c>
      <c r="C8" s="182">
        <v>45385</v>
      </c>
      <c r="E8" s="181" t="s">
        <v>715</v>
      </c>
      <c r="F8" s="182">
        <v>23964</v>
      </c>
      <c r="G8" s="182">
        <v>53964</v>
      </c>
      <c r="M8" s="181"/>
      <c r="N8" s="181"/>
      <c r="O8" s="181"/>
      <c r="P8" s="181"/>
    </row>
    <row r="9" spans="2:16" x14ac:dyDescent="0.3">
      <c r="B9" s="181" t="s">
        <v>716</v>
      </c>
      <c r="C9" s="183">
        <v>4.2291293514693913E-2</v>
      </c>
      <c r="E9" s="181" t="s">
        <v>716</v>
      </c>
      <c r="F9" s="183">
        <v>5.633450175262894E-2</v>
      </c>
      <c r="G9" s="183">
        <v>0.3986124626971001</v>
      </c>
      <c r="M9" s="183"/>
      <c r="N9" s="182"/>
      <c r="O9" s="183"/>
      <c r="P9" s="182"/>
    </row>
    <row r="10" spans="2:16" x14ac:dyDescent="0.3">
      <c r="B10" s="181" t="s">
        <v>717</v>
      </c>
      <c r="C10" s="183">
        <v>-0.99329315068493151</v>
      </c>
      <c r="E10" s="181" t="s">
        <v>717</v>
      </c>
      <c r="F10" s="183" t="s">
        <v>1352</v>
      </c>
      <c r="G10" s="183">
        <v>-0.52793115897660847</v>
      </c>
      <c r="M10" s="183"/>
      <c r="N10" s="182"/>
      <c r="O10" s="183"/>
      <c r="P10" s="182"/>
    </row>
    <row r="11" spans="2:16" x14ac:dyDescent="0.3">
      <c r="B11" s="181" t="s">
        <v>718</v>
      </c>
      <c r="C11" s="183">
        <v>0.22700473724798939</v>
      </c>
      <c r="E11" s="181" t="s">
        <v>718</v>
      </c>
      <c r="F11" s="183">
        <v>0.30238372264278768</v>
      </c>
      <c r="G11" s="183">
        <v>2.1396110130064931</v>
      </c>
    </row>
    <row r="12" spans="2:16" x14ac:dyDescent="0.3">
      <c r="B12" s="181" t="s">
        <v>235</v>
      </c>
      <c r="C12" s="184">
        <v>4.2576850032169947E-2</v>
      </c>
      <c r="E12" s="181" t="s">
        <v>235</v>
      </c>
      <c r="F12" s="184" t="s">
        <v>185</v>
      </c>
      <c r="G12" s="184">
        <v>0.75504628950071462</v>
      </c>
    </row>
    <row r="13" spans="2:16" x14ac:dyDescent="0.3">
      <c r="B13" s="181" t="s">
        <v>237</v>
      </c>
      <c r="C13" s="182">
        <v>-1614.9999999999998</v>
      </c>
      <c r="E13" s="181" t="s">
        <v>237</v>
      </c>
      <c r="F13" s="182">
        <v>-1350</v>
      </c>
      <c r="G13" s="182">
        <v>28650</v>
      </c>
    </row>
    <row r="14" spans="2:16" x14ac:dyDescent="0.3">
      <c r="B14" s="181" t="s">
        <v>236</v>
      </c>
      <c r="C14" s="182">
        <v>47928</v>
      </c>
      <c r="E14" s="181" t="s">
        <v>236</v>
      </c>
      <c r="F14" s="182">
        <v>47928</v>
      </c>
      <c r="G14" s="182">
        <v>95856</v>
      </c>
    </row>
    <row r="15" spans="2:16" x14ac:dyDescent="0.3">
      <c r="B15" s="181" t="s">
        <v>719</v>
      </c>
      <c r="C15" s="182">
        <v>-16.149999999999999</v>
      </c>
      <c r="E15" s="181" t="s">
        <v>719</v>
      </c>
      <c r="F15" s="182">
        <v>-13.5</v>
      </c>
      <c r="G15" s="182">
        <v>-13.5</v>
      </c>
    </row>
    <row r="16" spans="2:16" x14ac:dyDescent="0.3">
      <c r="B16" s="181" t="s">
        <v>720</v>
      </c>
      <c r="C16" s="183">
        <v>-3.3696377900183608E-2</v>
      </c>
      <c r="E16" s="181" t="s">
        <v>720</v>
      </c>
      <c r="F16" s="183">
        <v>-2.8167250876314474E-2</v>
      </c>
      <c r="G16" s="183">
        <v>-2.8167250876314474E-2</v>
      </c>
    </row>
    <row r="17" spans="2:7" x14ac:dyDescent="0.3">
      <c r="B17" s="181" t="s">
        <v>721</v>
      </c>
      <c r="C17" s="182">
        <v>450.81</v>
      </c>
      <c r="E17" s="181" t="s">
        <v>721</v>
      </c>
      <c r="F17" s="182">
        <v>515.11</v>
      </c>
      <c r="G17" s="182">
        <v>284.89</v>
      </c>
    </row>
    <row r="18" spans="2:7" x14ac:dyDescent="0.3">
      <c r="B18" s="181" t="s">
        <v>722</v>
      </c>
      <c r="C18" s="183">
        <v>-5.9401602403605348E-2</v>
      </c>
      <c r="E18" s="181" t="s">
        <v>722</v>
      </c>
      <c r="F18" s="183">
        <v>7.4757970288766573E-2</v>
      </c>
      <c r="G18" s="183">
        <v>-0.40558754798864965</v>
      </c>
    </row>
    <row r="19" spans="2:7" x14ac:dyDescent="0.3">
      <c r="B19" s="181" t="s">
        <v>723</v>
      </c>
      <c r="C19" s="182">
        <v>28.46999999999997</v>
      </c>
    </row>
    <row r="20" spans="2:7" x14ac:dyDescent="0.3">
      <c r="B20" s="181" t="s">
        <v>724</v>
      </c>
      <c r="C20" s="183">
        <v>5.9401602403605348E-2</v>
      </c>
    </row>
    <row r="21" spans="2:7" x14ac:dyDescent="0.3">
      <c r="B21" s="181" t="s">
        <v>1339</v>
      </c>
      <c r="C21" s="182">
        <v>453.85</v>
      </c>
    </row>
    <row r="22" spans="2:7" x14ac:dyDescent="0.3">
      <c r="B22" s="181" t="s">
        <v>1340</v>
      </c>
      <c r="C22" s="182">
        <v>47000</v>
      </c>
    </row>
    <row r="23" spans="2:7" x14ac:dyDescent="0.3">
      <c r="B23" s="181" t="s">
        <v>1341</v>
      </c>
      <c r="C23" s="182">
        <v>315.22191780821919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82</vt:i4>
      </vt:variant>
    </vt:vector>
  </HeadingPairs>
  <TitlesOfParts>
    <vt:vector size="95" baseType="lpstr">
      <vt:lpstr>Dashboard</vt:lpstr>
      <vt:lpstr>Client_Report</vt:lpstr>
      <vt:lpstr>Client_Illustration</vt:lpstr>
      <vt:lpstr>BBG_Data</vt:lpstr>
      <vt:lpstr>Calc</vt:lpstr>
      <vt:lpstr>StrategyMap</vt:lpstr>
      <vt:lpstr>ExpirationDates</vt:lpstr>
      <vt:lpstr>AccountMap</vt:lpstr>
      <vt:lpstr>MarginMap_CBOE</vt:lpstr>
      <vt:lpstr>ScenarioAdvisoryMap</vt:lpstr>
      <vt:lpstr>HelperFields</vt:lpstr>
      <vt:lpstr>Development Status</vt:lpstr>
      <vt:lpstr>Sheet2</vt:lpstr>
      <vt:lpstr>Account_Eligibility</vt:lpstr>
      <vt:lpstr>Admin_Map_Rng</vt:lpstr>
      <vt:lpstr>BBG_Div</vt:lpstr>
      <vt:lpstr>BBG_DTE</vt:lpstr>
      <vt:lpstr>BBG_IVOL</vt:lpstr>
      <vt:lpstr>bbg_Opt_Anchor</vt:lpstr>
      <vt:lpstr>BBG_RF</vt:lpstr>
      <vt:lpstr>bbg_RiskFree_Rate</vt:lpstr>
      <vt:lpstr>bbg_Stock_Anchor</vt:lpstr>
      <vt:lpstr>Calc_DefMax</vt:lpstr>
      <vt:lpstr>Calc_DefMin</vt:lpstr>
      <vt:lpstr>Disp_DTE</vt:lpstr>
      <vt:lpstr>Fund_Leverage</vt:lpstr>
      <vt:lpstr>Fund_Leverage_Type</vt:lpstr>
      <vt:lpstr>Fund_Type</vt:lpstr>
      <vt:lpstr>House_CallExcess</vt:lpstr>
      <vt:lpstr>House_NewIntradayCash</vt:lpstr>
      <vt:lpstr>House_SMA</vt:lpstr>
      <vt:lpstr>House_TodaysChange</vt:lpstr>
      <vt:lpstr>Index_BaseType</vt:lpstr>
      <vt:lpstr>Index_Data_Type</vt:lpstr>
      <vt:lpstr>Leg1_ExerType</vt:lpstr>
      <vt:lpstr>Leg1_Pos</vt:lpstr>
      <vt:lpstr>Leg1_Price</vt:lpstr>
      <vt:lpstr>Leg1_Strike</vt:lpstr>
      <vt:lpstr>Leg1_Type</vt:lpstr>
      <vt:lpstr>Leg2_ExerType</vt:lpstr>
      <vt:lpstr>Leg2_Pos</vt:lpstr>
      <vt:lpstr>Leg2_Price</vt:lpstr>
      <vt:lpstr>Leg2_Strike</vt:lpstr>
      <vt:lpstr>Leg2_Type</vt:lpstr>
      <vt:lpstr>Leg3_ExerType</vt:lpstr>
      <vt:lpstr>Leg3_Pos</vt:lpstr>
      <vt:lpstr>Leg3_Price</vt:lpstr>
      <vt:lpstr>Leg3_Strike</vt:lpstr>
      <vt:lpstr>Leg3_Type</vt:lpstr>
      <vt:lpstr>Leg4_ExerType</vt:lpstr>
      <vt:lpstr>Leg4_Pos</vt:lpstr>
      <vt:lpstr>Leg4_Price</vt:lpstr>
      <vt:lpstr>Leg4_Strike</vt:lpstr>
      <vt:lpstr>Leg4_Type</vt:lpstr>
      <vt:lpstr>Margin_ContractMuliplier</vt:lpstr>
      <vt:lpstr>Margin_ContractMultiplier</vt:lpstr>
      <vt:lpstr>Margin_Mode</vt:lpstr>
      <vt:lpstr>Margin_Table</vt:lpstr>
      <vt:lpstr>Net_Prem</vt:lpstr>
      <vt:lpstr>New_SummaryStats</vt:lpstr>
      <vt:lpstr>newDashboard</vt:lpstr>
      <vt:lpstr>newSummaryStats</vt:lpstr>
      <vt:lpstr>Opt_ListingType</vt:lpstr>
      <vt:lpstr>Opt_SettlementType</vt:lpstr>
      <vt:lpstr>Security_Type</vt:lpstr>
      <vt:lpstr>Sel_ExpiryDate</vt:lpstr>
      <vt:lpstr>Sel_ExpiryType</vt:lpstr>
      <vt:lpstr>Sel_Group</vt:lpstr>
      <vt:lpstr>Sel_ROI_Policy</vt:lpstr>
      <vt:lpstr>Sel_ScenarioMode</vt:lpstr>
      <vt:lpstr>Sel_ScenMode</vt:lpstr>
      <vt:lpstr>Sel_Strategy</vt:lpstr>
      <vt:lpstr>Sel_Subgroup</vt:lpstr>
      <vt:lpstr>Sel_ViewMode</vt:lpstr>
      <vt:lpstr>shortName</vt:lpstr>
      <vt:lpstr>shortTicker</vt:lpstr>
      <vt:lpstr>Stock</vt:lpstr>
      <vt:lpstr>Stock_AvgCost</vt:lpstr>
      <vt:lpstr>Stock_CostBasis</vt:lpstr>
      <vt:lpstr>Stock_MktValue</vt:lpstr>
      <vt:lpstr>Stock_PnL</vt:lpstr>
      <vt:lpstr>Stock_Pos</vt:lpstr>
      <vt:lpstr>Strat_IVOL</vt:lpstr>
      <vt:lpstr>Strat_Pos</vt:lpstr>
      <vt:lpstr>Strat_Price</vt:lpstr>
      <vt:lpstr>Strat_Strike</vt:lpstr>
      <vt:lpstr>Strat_Type</vt:lpstr>
      <vt:lpstr>Strat_Vol</vt:lpstr>
      <vt:lpstr>Val_DownsideTgt</vt:lpstr>
      <vt:lpstr>Val_RiskFreeRate</vt:lpstr>
      <vt:lpstr>Val_ScenStep</vt:lpstr>
      <vt:lpstr>Val_Spot</vt:lpstr>
      <vt:lpstr>Val_StratID</vt:lpstr>
      <vt:lpstr>Val_Ticker</vt:lpstr>
      <vt:lpstr>Val_UpsideTgt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Vibert</dc:creator>
  <cp:lastModifiedBy>Timothy Vibert</cp:lastModifiedBy>
  <cp:lastPrinted>2026-01-12T03:34:27Z</cp:lastPrinted>
  <dcterms:created xsi:type="dcterms:W3CDTF">2025-12-25T15:55:10Z</dcterms:created>
  <dcterms:modified xsi:type="dcterms:W3CDTF">2026-01-17T13:44:44Z</dcterms:modified>
</cp:coreProperties>
</file>